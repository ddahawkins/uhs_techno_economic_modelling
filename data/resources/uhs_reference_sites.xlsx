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ev\uhs_techno_economic_modelling\data\resources\"/>
    </mc:Choice>
  </mc:AlternateContent>
  <xr:revisionPtr revIDLastSave="0" documentId="8_{8B5041DB-8647-4FBF-836A-56DA979898AE}" xr6:coauthVersionLast="47" xr6:coauthVersionMax="47" xr10:uidLastSave="{00000000-0000-0000-0000-000000000000}"/>
  <bookViews>
    <workbookView xWindow="-108" yWindow="-108" windowWidth="23256" windowHeight="13896" xr2:uid="{00000000-000D-0000-FFFF-FFFF00000000}"/>
  </bookViews>
  <sheets>
    <sheet name="Reference sites" sheetId="1" r:id="rId1"/>
    <sheet name="Read 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alcChain>
</file>

<file path=xl/sharedStrings.xml><?xml version="1.0" encoding="utf-8"?>
<sst xmlns="http://schemas.openxmlformats.org/spreadsheetml/2006/main" count="653" uniqueCount="375">
  <si>
    <t>Storage class</t>
  </si>
  <si>
    <t>Site</t>
  </si>
  <si>
    <t>Country</t>
  </si>
  <si>
    <t>H2 reference working GWh</t>
  </si>
  <si>
    <t>NG working million Sm3</t>
  </si>
  <si>
    <t>NG working TWh</t>
  </si>
  <si>
    <t>Cavern volume minimum m3</t>
  </si>
  <si>
    <t>Cavern volume maximum m3</t>
  </si>
  <si>
    <t>Reference depth m</t>
  </si>
  <si>
    <t>Abandonment pressure bar</t>
  </si>
  <si>
    <t>Minimum pressure bar</t>
  </si>
  <si>
    <t>Maximum pressure bar</t>
  </si>
  <si>
    <t>Notes and sources</t>
  </si>
  <si>
    <t>DGF</t>
  </si>
  <si>
    <t>Aigelsbrunn</t>
  </si>
  <si>
    <t>Austria</t>
  </si>
  <si>
    <t>Source: GIE 2026 facility-level storage database (https://www.gie.eu/transparency/databases/storage-database/) Additional source: SciGRID IGGI four raw fields (https://doi.org/10.5281/zenodo.4288468) GIE facility code: AT0401 NG working volume 138.588 million standard m3: GIE NG working-gas energy, technical TWh. NG working energy 1.5 TWh: GIE technical working-gas energy, NOT H2. H2 reference GWh: NG standard working volume × 0.0852 kg/m3 × 33.33 kWh/kg; VOLUME-EQUIVALENT SCREENING ONLY, NOT a physically modelled H2 working capacity. Qualifications: Capacity only; independent site geology/pressure source needed. Facility code distinguishes same-named units. | H2 screening equivalent=NG standard volume x 0.0852 kg/m3 x 33.33 kWh/kg; NOT site-validated H2 working capacity Still missing: depth, minimum reservoir pressure, maximum reservoir pressure, abandonment pressure SciGRID alternative imputed fields (NOT adopted as site observations): depth=1108.12 (Lasso estimate), minimum pressure=57.47 (Median estimate), maximum pressure=138.16 (Lasso estimate). https://doi.org/10.5281/zenodo.4288468 .</t>
  </si>
  <si>
    <t>Alkmaar</t>
  </si>
  <si>
    <t>Netherlands</t>
  </si>
  <si>
    <t>Source: GIE 2026 facility-level storage database (https://www.gie.eu/transparency/databases/storage-database/) Additional source: SciGRID IGGI four raw fields (https://doi.org/10.5281/zenodo.4288468) GIE facility code: NL0302 NG working volume 466.805 million standard m3: GIE NG working-gas energy, technical TWh. NG working energy 4.89 TWh: GIE technical working-gas energy, NOT H2. H2 reference GWh: NG standard working volume × 0.0852 kg/m3 × 33.33 kWh/kg; VOLUME-EQUIVALENT SCREENING ONLY, NOT a physically modelled H2 working capacity. Depth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minimum reservoir pressure, maximum reservoir pressure, abandonment pressure SciGRID alternative imputed fields (NOT adopted as site observations): minimum pressure=133.03 (Lasso estimate), maximum pressure=263.90 (Lasso estimate). https://doi.org/10.5281/zenodo.4288468 .</t>
  </si>
  <si>
    <t>Allmenhausen</t>
  </si>
  <si>
    <t>Germany</t>
  </si>
  <si>
    <t>Source: GIE 2026 facility-level storage database (https://www.gie.eu/transparency/databases/storage-database/) Additional source: SciGRID IGGI four raw fields (https://doi.org/10.5281/zenodo.4288468) GIE facility code: DE2501 NG working energy 0.943 TWh: GIE technical working-gas energy, NOT H2.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DATA QA REJECTION: NG GIE energy/NG reported volume implies 14.54 kWh/m3 (outside 8-14 indicative window); rejected conflicting NG-volume field, retained GIE working TWh Still missing: minimum reservoir pressure, abandonment pressure SciGRID alternative imputed fields (NOT adopted as site observations): minimum pressure=27.01 (Lasso estimate). https://doi.org/10.5281/zenodo.4288468 .</t>
  </si>
  <si>
    <t>Balanceanca</t>
  </si>
  <si>
    <t>Romania</t>
  </si>
  <si>
    <t>Source: GIE 2026 facility-level storage database (https://www.gie.eu/transparency/databases/storage-database/) GIE facility code: RO0101 NG working energy 0.53 TWh: GIE technical working-gas energy, NOT H2. Qualifications: Capacity only; independent site geology/pressure source needed. Facility code distinguishes same-named units. Still missing: depth, minimum reservoir pressure, maximum reservoir pressure, abandonment pressure</t>
  </si>
  <si>
    <t>Banatski Dvor</t>
  </si>
  <si>
    <t>Serbia</t>
  </si>
  <si>
    <t>Source: GIE 2026 facility-level storage database (https://www.gie.eu/transparency/databases/storage-database/) Additional source: SciGRID IGGI four raw fields (https://doi.org/10.5281/zenodo.4288468) GIE facility code: RS0101 NG working volume 466.673 million standard m3: GIE NG working-gas energy, technical TWh. NG working energy 4.532 TWh: GIE technical working-gas energy, NOT H2. H2 reference GWh: NG standard working volume × 0.0852 kg/m3 × 33.33 kWh/kg; VOLUME-EQUIVALENT SCREENING ONLY, NOT a physically modelled H2 working capacity. Qualifications: Capacity only; independent site geology/pressure source needed. Facility code distinguishes same-named units. | H2 screening equivalent=NG standard volume x 0.0852 kg/m3 x 33.33 kWh/kg; NOT site-validated H2 working capacity Still missing: depth, minimum reservoir pressure, maximum reservoir pressure, abandonment pressure SciGRID alternative imputed fields (NOT adopted as site observations): depth=1108.12 (Lasso estimate), minimum pressure=57.47 (Median estimate), maximum pressure=138.16 (Lasso estimate). https://doi.org/10.5281/zenodo.4288468 .</t>
  </si>
  <si>
    <t>Bergermeer</t>
  </si>
  <si>
    <t>Source: Dutch Bergermeer storage-plan / court record (https://uitspraken.rechtspraak.nl/details?id=ECLI%3ANL%3ARBDHA%3A2022%3A11966) Additional source: https://www.nlog.nl/sites/default/files/2020-03/181030_verzoek_wijziging_instemmingsbesluit_opslagplan_bergermeer_taqa_gelakt.pdf GIE 2026 facility code NL0301: https://www.gie.eu/transparency/databases/storage-database/ NG working volume 4,299.048 million standard m3: GIE NG working-gas energy, technical TWh. NG working energy 49.65 TWh: GIE technical working-gas energy, NOT H2. H2 reference GWh: NG standard working volume × 0.0852 kg/m3 × 33.33 kWh/kg; VOLUME-EQUIVALENT SCREENING ONLY, NOT a physically modelled H2 working capacity. Depth basis: Reservoir top/reference depth; field top reported ~2100–2200 m Pressure basis: Average reservoir pressure, bar(a); operational/regulatory natural-gas UGS range Qualifications: Production stopped at ~15 bar(a). Current pressure window used here is 77–150 bar(a); 150 bar is the approved raised maximum. Depth reference is ~2.1 km, with reservoir top commonly reported 2100–2200 m. | Further: GIE 2026 technical NG storage https://www.gie.eu/transparency/databases/storage-database/ | Further: SciGRID IGGI four raw fields https://doi.org/10.5281/zenodo.4288468 | H2 screening equivalent=NG standard volume x 0.0852 kg/m3 x 33.33 kWh/kg; NOT site-validated H2 working capacity SciGRID alternative imputed fields (NOT adopted as site observations): depth=1108.12 (Lasso estimate), minimum pressure=57.47 (Median estimate), maximum pressure=138.16 (Lasso estimate). https://doi.org/10.5281/zenodo.4288468 .</t>
  </si>
  <si>
    <t>Bierwang</t>
  </si>
  <si>
    <t>Source: GIE 2026 facility-level storage database (https://www.gie.eu/transparency/databases/storage-database/) Additional source: SciGRID IGGI four raw fields (https://doi.org/10.5281/zenodo.4288468) GIE facility code: DE2901 NG working volume 950.316 million standard m3: GIE NG working-gas energy, technical TWh. NG working energy 9.449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</si>
  <si>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Bilciuresti</t>
  </si>
  <si>
    <t>Source: GIE 2026 facility-level storage database (https://www.gie.eu/transparency/databases/storage-database/) Additional source: SciGRID IGGI four raw fields (https://doi.org/10.5281/zenodo.4288468) GIE facility code: RO0102 NG working volume 1,322.966 million standard m3: GIE NG working-gas energy, technical TWh. NG working energy 14.017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</si>
  <si>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Breitbrunn</t>
  </si>
  <si>
    <t>Source: GIE 2026 facility-level storage database (https://www.gie.eu/transparency/databases/storage-database/) Additional source: SciGRID IGGI four raw fields (https://doi.org/10.5281/zenodo.4288468) GIE facility code: DE2902 NG working volume 1,047.422 million standard m3: GIE NG working-gas energy, technical TWh. NG working energy 11.418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</si>
  <si>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Brugherio</t>
  </si>
  <si>
    <t>Italy</t>
  </si>
  <si>
    <t>Source: SciGRID IGGI upstream raw fields (original sources not individually verified) (https://doi.org/10.5281/zenodo.4288468) NG working volume 694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</si>
  <si>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Brzeznica</t>
  </si>
  <si>
    <t>Poland</t>
  </si>
  <si>
    <t>Source: GIE 2026 facility-level storage database (https://www.gie.eu/transparency/databases/storage-database/) Additional source: SciGRID IGGI four raw fields (https://doi.org/10.5281/zenodo.4288468) GIE facility code: PL0106 NG working energy 1.126 TWh: GIE technical working-gas energy, NOT H2.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DATA QA REJECTION: NG GIE energy/NG reported volume implies 16.33 kWh/m3 (outside 8-14 indicative window); rejected conflicting NG-volume field, retained GIE working TWh Still missing: abandonment pressure</t>
  </si>
  <si>
    <t>Chiren</t>
  </si>
  <si>
    <t>Bulgaria</t>
  </si>
  <si>
    <t>Source: GIE 2026 facility-level storage database (https://www.gie.eu/transparency/databases/storage-database/) GIE facility code: BG0101 NG working energy 7.02 TWh: GIE technical working-gas energy, NOT H2. Qualifications: Capacity only; independent site geology/pressure source needed. Facility code distinguishes same-named units. Still missing: depth, minimum reservoir pressure, maximum reservoir pressure, abandonment pressure</t>
  </si>
  <si>
    <t>Complex Láb</t>
  </si>
  <si>
    <t>Slovakia</t>
  </si>
  <si>
    <t>Source: GIE 2026 facility-level storage database (https://www.gie.eu/transparency/databases/storage-database/) GIE facility code: SK0101 NG working energy 27.7 TWh: GIE technical working-gas energy, NOT H2. Qualifications: Capacity only; independent site geology/pressure source needed. Facility code distinguishes same-named units. Still missing: depth, minimum reservoir pressure, maximum reservoir pressure, abandonment pressure</t>
  </si>
  <si>
    <t>Cornegliano Laudense</t>
  </si>
  <si>
    <t>Site-specific original study: https://doi.org/10.3390/geosciences15090329 . Reported depth ~1,330 m; original/static reservoir pressure 161 bar, also the reported maximum operating static pressure; end-of-production pressure 50 bar; low-inventory operating bottom-hole pressure ~40–50 bar. MODEL ADJUSTMENT, NOT AN OBSERVED PAIRED STATE: abandonment/preconversion pressure set to 45 bar and minimum storage pressure to 50 bar to satisfy required P_preconversion &lt; P_min. Both are drawn from the reported 40–50 bar low-pressure envelope, but neither forms a directly measured paired state. The underlying observed depleted pressure is 50 bar, not 45 bar. GIE 2026 identifies 3.85 TWh NG working energy: https://www.gie.eu/transparency/databases/storage-database/ . SciGRID raw NG volume of 2,281.5 million m3 is withheld due to major inconsistency with GIE energy; no defensible H2 working-energy reference established yet.</t>
  </si>
  <si>
    <t>Cortemaggiore</t>
  </si>
  <si>
    <t>Source: SciGRID IGGI upstream raw fields (original sources not individually verified) (https://doi.org/10.5281/zenodo.4288468) NG working volume 182.312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</si>
  <si>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Dambořice</t>
  </si>
  <si>
    <t>Czech Republic</t>
  </si>
  <si>
    <t>Source: GIE 2026 facility-level storage database (https://www.gie.eu/transparency/databases/storage-database/) GIE facility code: CZ0301 NG working energy 5.055 TWh: GIE technical working-gas energy, NOT H2. Qualifications: Capacity only; independent site geology/pressure source needed. Facility code distinguishes same-named units. Still missing: depth, minimum reservoir pressure, maximum reservoir pressure, abandonment pressure</t>
  </si>
  <si>
    <t>Dolni Bojanovice</t>
  </si>
  <si>
    <t>Source: GIE 2026 facility-level storage database (https://www.gie.eu/transparency/databases/storage-database/) Additional source: SciGRID IGGI four raw fields (https://doi.org/10.5281/zenodo.4288468) GIE facility code: CZ0401 NG working energy 6.944 TWh: GIE technical working-gas energy, NOT H2.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DATA QA REJECTION: NG GIE energy/NG reported volume implies 1135.18 kWh/m3 (outside 8-14 indicative window); rejected conflicting NG-volume field, retained GIE working TWh Still missing: abandonment pressure</t>
  </si>
  <si>
    <t>Fiume Treste</t>
  </si>
  <si>
    <t>Source: SciGRID IGGI upstream raw fields (original sources not individually verified) (https://doi.org/10.5281/zenodo.4288468) NG working volume 3,529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</si>
  <si>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GSF Sanok</t>
  </si>
  <si>
    <t>Source: GIE 2026 facility-level storage database (https://www.gie.eu/transparency/databases/storage-database/) GIE facility code: PL01V2 NG working energy 13.456 TWh: GIE technical working-gas energy, NOT H2. Qualifications: Capacity only; independent site geology/pressure source needed. Facility code distinguishes same-named units. Still missing: depth, minimum reservoir pressure, maximum reservoir pressure, abandonment pressure</t>
  </si>
  <si>
    <t>Gaviota</t>
  </si>
  <si>
    <t>Spain</t>
  </si>
  <si>
    <t>Source: GIE 2026 facility-level storage database (https://www.gie.eu/transparency/databases/storage-database/) Additional source: SciGRID IGGI four raw fields (https://doi.org/10.5281/zenodo.4288468) GIE facility code: ES0101 NG working volume 1,729.047 million standard m3: GIE NG working-gas energy, technical TWh. NG working energy 18.34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</si>
  <si>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Ghercesti</t>
  </si>
  <si>
    <t>Source: GIE 2026 facility-level storage database (https://www.gie.eu/transparency/databases/storage-database/) Additional source: SciGRID IGGI four raw fields (https://doi.org/10.5281/zenodo.4288468) GIE facility code: RO0103 NG working energy 2.675 TWh: GIE technical working-gas energy, NOT H2. Qualifications: Capacity only; independent site geology/pressure source needed. Facility code distinguishes same-named units. | DATA QA REJECTION: NG GIE energy/NG reported volume implies 17.89 kWh/m3 (outside 8-14 indicative window); rejected conflicting NG-volume field, retained GIE working TWh Still missing: depth, minimum reservoir pressure, maximum reservoir pressure, abandonment pressure SciGRID alternative imputed fields (NOT adopted as site observations): depth=1108.12 (Lasso estimate), minimum pressure=57.47 (Median estimate), maximum pressure=138.16 (Lasso estimate). https://doi.org/10.5281/zenodo.4288468 .</t>
  </si>
  <si>
    <t>Grijpskerk</t>
  </si>
  <si>
    <t>Source: GIE 2026 facility-level storage database (https://www.gie.eu/transparency/databases/storage-database/) Additional source: SciGRID IGGI four raw fields (https://doi.org/10.5281/zenodo.4288468) GIE facility code: NL0201 NG working volume 2,608.344 million standard m3: GIE NG working-gas energy, technical TWh. NG working energy 23.85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minimum reservoir pressure, abandonment pressure SciGRID alternative imputed fields (NOT adopted as site observations): minimum pressure=141.00 (Lasso estimate). https://doi.org/10.5281/zenodo.4288468 .</t>
  </si>
  <si>
    <t>Haidach 5</t>
  </si>
  <si>
    <t>Source: GIE 2026 facility-level storage database (https://www.gie.eu/transparency/databases/storage-database/) GIE facility code: AT0402 NG working energy 0.184 TWh: GIE technical working-gas energy, NOT H2. Qualifications: Capacity only; independent site geology/pressure source needed. Facility code distinguishes same-named units. Still missing: depth, minimum reservoir pressure, maximum reservoir pressure, abandonment pressure</t>
  </si>
  <si>
    <t>Haidach [AT0101]</t>
  </si>
  <si>
    <t>Source: GIE 2026 facility-level storage database (https://www.gie.eu/transparency/databases/storage-database/) GIE facility code: AT0101 NG working energy 19.499 TWh: GIE technical working-gas energy, NOT H2. Qualifications: Capacity only; independent site geology/pressure source needed. Facility code distinguishes same-named units. Still missing: depth, minimum reservoir pressure, maximum reservoir pressure, abandonment pressure</t>
  </si>
  <si>
    <t>Haidach [AT0405]</t>
  </si>
  <si>
    <t>Source: GIE 2026 facility-level storage database (https://www.gie.eu/transparency/databases/storage-database/) GIE facility code: AT0405 NG working energy 14.8 TWh: GIE technical working-gas energy, NOT H2. Qualifications: Capacity only; independent site geology/pressure source needed. Facility code distinguishes same-named units. Still missing: depth, minimum reservoir pressure, maximum reservoir pressure, abandonment pressure</t>
  </si>
  <si>
    <t>Hajdúszoboszló</t>
  </si>
  <si>
    <t>Hungary</t>
  </si>
  <si>
    <t>Source: GIE 2026 facility-level storage database (https://www.gie.eu/transparency/databases/storage-database/) Additional source: SciGRID IGGI four raw fields (https://doi.org/10.5281/zenodo.4288468) GIE facility code: HU0101 NG working volume 1,640.822 million standard m3: GIE NG working-gas energy, technical TWh. NG working energy 17.72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</si>
  <si>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Hampshire</t>
  </si>
  <si>
    <t>United Kingdom</t>
  </si>
  <si>
    <t>Source: GIE 2026 facility-level storage database (https://www.gie.eu/transparency/databases/storage-database/) GIE facility code: GB0201 NG working energy 2.815 TWh: GIE technical working-gas energy, NOT H2. Qualifications: Capacity only; independent site geology/pressure source needed. Facility code distinguishes same-named units. Still missing: depth, minimum reservoir pressure, maximum reservoir pressure, abandonment pressure</t>
  </si>
  <si>
    <t>Hatfield Moor</t>
  </si>
  <si>
    <t>Source: GIE 2026 facility-level storage database (https://www.gie.eu/transparency/databases/storage-database/) Additional source: SciGRID IGGI four raw fields (https://doi.org/10.5281/zenodo.4288468) GIE facility code: GB0301 NG working energy 0.798 TWh: GIE technical working-gas energy, NOT H2. Depth basis: SciGRID upstream raw; unverified against original site publication Qualifications: Capacity only; independent site geology/pressure source needed. Facility code distinguishes same-named units. | DATA QA REJECTION: NG GIE energy/NG reported volume implies 6.75 kWh/m3 (outside 8-14 indicative window); rejected conflicting NG-volume field, retained GIE working TWh Still missing: minimum reservoir pressure, maximum reservoir pressure, abandonment pressure SciGRID alternative imputed fields (NOT adopted as site observations): minimum pressure=31.00 (Lasso estimate), maximum pressure=94.10 (Lasso estimate). https://doi.org/10.5281/zenodo.4288468 .</t>
  </si>
  <si>
    <t>Husow</t>
  </si>
  <si>
    <t>Source: GIE 2026 facility-level storage database (https://www.gie.eu/transparency/databases/storage-database/) Additional source: SciGRID IGGI four raw fields (https://doi.org/10.5281/zenodo.4288468) GIE facility code: PL0108 NG working volume 530.31 million standard m3: GIE NG working-gas energy, technical TWh. NG working energy 5.65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</si>
  <si>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Inzenham-West</t>
  </si>
  <si>
    <t>Source: GIE 2026 facility-level storage database (https://www.gie.eu/transparency/databases/storage-database/) Additional source: SciGRID IGGI four raw fields (https://doi.org/10.5281/zenodo.4288468) GIE facility code: DE0401 NG working volume 449.514 million standard m3: GIE NG working-gas energy, technical TWh. NG working energy 4.8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</si>
  <si>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Kardoskút</t>
  </si>
  <si>
    <t>Source: GIE 2026 facility-level storage database (https://www.gie.eu/transparency/databases/storage-database/) Additional source: SciGRID IGGI four raw fields (https://doi.org/10.5281/zenodo.4288468) GIE facility code: HU0102 NG working volume 280.136 million standard m3: GIE NG working-gas energy, technical TWh. NG working energy 3.03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</si>
  <si>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Láb 4</t>
  </si>
  <si>
    <t>Source: GIE 2026 facility-level storage database (https://www.gie.eu/transparency/databases/storage-database/) GIE facility code: SK0201 NG working energy 6.948 TWh: GIE technical working-gas energy, NOT H2. Qualifications: Capacity only; independent site geology/pressure source needed. Facility code distinguishes same-named units. Still missing: depth, minimum reservoir pressure, maximum reservoir pressure, abandonment pressure</t>
  </si>
  <si>
    <t>Marismas</t>
  </si>
  <si>
    <t>Source: GIE 2026 facility-level storage database (https://www.gie.eu/transparency/databases/storage-database/) Additional source: SciGRID IGGI four raw fields (https://doi.org/10.5281/zenodo.4288468) GIE facility code: ES0102 NG working energy 0.831 TWh: GIE technical working-gas energy, NOT H2. Qualifications: Capacity only; independent site geology/pressure source needed. Facility code distinguishes same-named units. | DATA QA REJECTION: NG GIE energy/NG reported volume implies 5.46 kWh/m3 (outside 8-14 indicative window); rejected conflicting NG-volume field, retained GIE working TWh Still missing: depth, minimum reservoir pressure, maximum reservoir pressure, abandonment pressure SciGRID alternative imputed fields (NOT adopted as site observations): depth=1108.12 (Lasso estimate), minimum pressure=57.47 (Median estimate), maximum pressure=138.16 (Lasso estimate). https://doi.org/10.5281/zenodo.4288468 .</t>
  </si>
  <si>
    <t>Minerbio</t>
  </si>
  <si>
    <t>Source: SciGRID IGGI upstream raw fields (original sources not individually verified) (https://doi.org/10.5281/zenodo.4288468) NG working volume 3,296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</si>
  <si>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Norg (Langelo)</t>
  </si>
  <si>
    <t>Source: GIE 2026 facility-level storage database (https://www.gie.eu/transparency/databases/storage-database/) Additional source: SciGRID IGGI four raw fields (https://doi.org/10.5281/zenodo.4288468) GIE facility code: NL0202 NG working volume 6,581.088 million standard m3: GIE NG working-gas energy, technical TWh. NG working energy 59.339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minimum reservoir pressure, abandonment pressure SciGRID alternative imputed fields (NOT adopted as site observations): minimum pressure=114.70 (Lasso estimate). https://doi.org/10.5281/zenodo.4288468 .</t>
  </si>
  <si>
    <t>Nussdorf/Zagling</t>
  </si>
  <si>
    <t>Source: GIE 2026 facility-level storage database (https://www.gie.eu/transparency/databases/storage-database/) Additional source: SciGRID IGGI four raw fields (https://doi.org/10.5281/zenodo.4288468) GIE facility code: AT0403 NG working energy 6.3 TWh: GIE technical working-gas energy, NOT H2. Qualifications: Capacity only; independent site geology/pressure source needed. Facility code distinguishes same-named units. | DATA QA REJECTION: NG GIE energy/NG reported volume implies 20.52 kWh/m3 (outside 8-14 indicative window); rejected conflicting NG-volume field, retained GIE working TWh Still missing: depth, minimum reservoir pressure, maximum reservoir pressure, abandonment pressure SciGRID alternative imputed fields (NOT adopted as site observations): depth=1108.12 (Lasso estimate), minimum pressure=57.47 (Median estimate), maximum pressure=138.16 (Lasso estimate). https://doi.org/10.5281/zenodo.4288468 .</t>
  </si>
  <si>
    <t>Okoli</t>
  </si>
  <si>
    <t>Croatia</t>
  </si>
  <si>
    <t>Source: GIE 2026 facility-level storage database (https://www.gie.eu/transparency/databases/storage-database/) Additional source: SciGRID IGGI four raw fields (https://doi.org/10.5281/zenodo.4288468) GIE facility code: HR0101 NG working volume 521.354 million standard m3: GIE NG working-gas energy, technical TWh. NG working energy 4.772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</si>
  <si>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Puchkirchen/Haag</t>
  </si>
  <si>
    <t>Source: GIE 2026 facility-level storage database (https://www.gie.eu/transparency/databases/storage-database/) GIE facility code: AT0404 NG working energy 13.4 TWh: GIE technical working-gas energy, NOT H2. Qualifications: Capacity only; independent site geology/pressure source needed. Facility code distinguishes same-named units. Still missing: depth, minimum reservoir pressure, maximum reservoir pressure, abandonment pressure</t>
  </si>
  <si>
    <t>Pusztaederics</t>
  </si>
  <si>
    <t>Source: GIE 2026 facility-level storage database (https://www.gie.eu/transparency/databases/storage-database/) Additional source: SciGRID IGGI four raw fields (https://doi.org/10.5281/zenodo.4288468) GIE facility code: HU0103 NG working volume 340.172 million standard m3: GIE NG working-gas energy, technical TWh. NG working energy 3.67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</si>
  <si>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Rehden</t>
  </si>
  <si>
    <t>Source: HyUnder D3.1 site description (https://hyunder.eu/wp-content/uploads/2016/01/D3.1_Overview-of-all-known-underground-storage-technologies.pdf) Additional source: SciGRID IGGI four raw fields (https://doi.org/10.5281/zenodo.4288468) GIE 2026 facility code DE0102: https://www.gie.eu/transparency/databases/storage-database/ NG working volume 4,400 million standard m3: GIE NG working-gas energy, technical TWh. NG working energy 35.74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HyUnder reported NG operating range; SciGRID may refer to other period/regime Qualifications: Capacity only; independent site geology/pressure source needed. Facility code distinguishes same-named units. | Further: GIE 2026 facility-level storage database https://www.gie.eu/transparency/databases/storage-database/ | Pressure discrepancy: SciGRID/original p_max_bar=282.0 vs HyUnder=280; HyUnder site description used | HyUnder NG working=4400 MSm3 vs other source=4583.76543768 MSm3; vintages differ | Used HyUnder site-specific NG capacity in preference to SciGRID raw, pending original-source reconciliation | DGF NG, section 4.2/table 4-1; 4200 in H2 row appears inconsistent; do NOT adopt | H2 screening equivalent=NG standard volume x 0.0852 kg/m3 x 33.33 kWh/kg; NOT site-validated H2 working capacity Still missing: abandonment pressure</t>
  </si>
  <si>
    <t>Ripalta</t>
  </si>
  <si>
    <t>Source: SciGRID IGGI upstream raw fields (original sources not individually verified) (https://doi.org/10.5281/zenodo.4288468) NG working volume 1,465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</si>
  <si>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Roden</t>
  </si>
  <si>
    <t>Source: Techno-economic analysis of developing an underground hydrogen storage facility in depleted gas field: A Dutch case study (https://doi.org/10.1016/j.ijhydene.2023.04.090) Additional source: https://ris.utwente.nl/ws/files/269008008/PDEng_Thesis_Seyedhamidreza_Yousefi_public_.pdf H2 reference GWh: site-specific H2 reservoir modelling, converted using density 0.0852 kg/Sm3 and LHV 33.33 kWh/kg. Depth basis: Top of Roden reservoir varies from 2850 to 3280 m TVD; 2850 m is used here as the representative reservoir-top depth for the cost model Pressure basis: Reservoir working-pressure range from site-specific H2 dynamic model Qualifications: Yousefi et al. report production ending in 2003 at ~106 bar and model the base-case H2 storage window at 185–251 bar. The Roden geological model places the reservoir top between 2850 and 3280 m TVD; 2850 m is used here as the representative depth, while the dynamic-model datum/gas-water contact is 3021 m. Thus depth and pressure values come from the same Roden case study but refer to different reservoir reference surfaces. | Further: Yousefi 2021 Roden reservoir study / thesis https://ris.utwente.nl/ws/files/269008008/PDEng_Thesis_Seyedhamidreza_Yousefi_public_.pdf | Primary thesis quotes ~2.3 TWh, but provided LHV/standard H2 density yield 2.215 TWh; resolve convention before finalising</t>
  </si>
  <si>
    <t>Rough</t>
  </si>
  <si>
    <t>Source: GIE 2026 facility-level storage database (https://www.gie.eu/transparency/databases/storage-database/) Additional source: SciGRID IGGI four raw fields (https://doi.org/10.5281/zenodo.4288468) GIE facility code: GB0701 NG working energy 16.88 TWh: GIE technical working-gas energy, NOT H2.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DATA QA REJECTION: NG GIE energy/NG reported volume implies 4.91 kWh/m3 (outside 8-14 indicative window); rejected conflicting NG-volume field, retained GIE working TWh Still missing: abandonment pressure</t>
  </si>
  <si>
    <t>Rubensdorf</t>
  </si>
  <si>
    <t>Observed pure-H2 depleted-reservoir demonstrator: https://doi.org/10.1016/j.ijhydene.2026.156784 . Reported depth 1,100 m below surface and static reservoir pressure envelope 22–107 bar(a). The earlier cost-model choice P_abandonment=22 bar and P_min=55 bar is NOT a documented observed pressure pair: 22 bar is the low end of the reported static range, whereas 55 bar was selected from a surface pipeline/suction reference. Abandonment and reservoir minimum operating pressures are therefore left blank for future verification. The paper reports approximately 450,000 Nm3 H2 cycled during the larger 2024–2025 demonstration, equivalent to ~1.278 GWh at the project standard H2 density/LHV; this is demonstrated cycling, not the site maximum inventory. Operator separately states 4.2 GWh installed storage capability: https://www.rag-austria.at/en/about-us/locations/storage-facility-locations/rag-hydrogen-storage-facility-rubensdorf .</t>
  </si>
  <si>
    <t>Sabbioncello</t>
  </si>
  <si>
    <t>Source: CAMPO DI SABBIONCELLO – STUDIO DI GIACIMENTO, Relazione 18/96 (AGIP, May 1996) (https://www.videpi.com/deposito/videpi/allegati/7266.pdf) Additional source: https://doi.org/10.5281/zenodo.4288468; https://doi.org/10.3390/su15086886 NG working volume 1,141 million standard m3: SciGRID NG max_workingGas_M_m3; standard-volume basis not independently verified. H2 reference GWh: NG standard working volume × 0.0852 kg/m3 × 33.33 kWh/kg; VOLUME-EQUIVALENT SCREENING ONLY, NOT a physically modelled H2 working capacity. Depth basis: SciGRID raw structure depth (1100 m), corroborated by AGIP/ViDEPI reservoir study showing top depth ~1100 m and datum depth 1163 m Pressure basis: Pre-conversion pressure at start of storage from AGIP/ViDEPI; min/max operating pressures from raw SciGRID storage attributes Qualifications: Compiled from multiple sources. The 1996 AGIP reservoir study reports initial static bottom-hole pressure of 146.1 kg/cm²(a) at datum 1163 m, primary production ending in 1981, and static pressure of 60.7 kg/cm²(a) (~59.5 bar(a)) near the end of primary production. Storage began in July 1985, by which time reservoir pressure had recovered to 70 kg/cm²(a) (~68.65 bar(a)); this storage-start pressure is used as model_abandonment_pressure_bar because it best represents the pressure present when conversion to storage began. SciGRID independently reports raw depth=1100 m, Pmin=77.4 bar and Pmax=142.2 bar. The raw SciGRID Pmax is also close to the AGIP original pressure (~143.3 bar after unit conversion), providing a useful cross-check. The peer-reviewed Italian UHS survey is included as a secondary DOI-backed site/context source. | Further: SciGRID IGGI four raw fields https://doi.org/10.5281/zenodo.4288468 | H2 screening equivalent=NG standard volume x 0.0852 kg/m3 x 33.33 kWh/kg; NOT site-validated H2 working capacity</t>
  </si>
  <si>
    <t>Sarmasel</t>
  </si>
  <si>
    <t>Source: GIE 2026 facility-level storage database (https://www.gie.eu/transparency/databases/storage-database/) GIE facility code: RO0104 NG working energy 9.63 TWh: GIE technical working-gas energy, NOT H2. Qualifications: Capacity only; independent site geology/pressure source needed. Facility code distinguishes same-named units. Still missing: depth, minimum reservoir pressure, maximum reservoir pressure, abandonment pressure</t>
  </si>
  <si>
    <t>Schmidhausen</t>
  </si>
  <si>
    <t>Source: GIE 2026 facility-level storage database (https://www.gie.eu/transparency/databases/storage-database/) Additional source: SciGRID IGGI four raw fields (https://doi.org/10.5281/zenodo.4288468) GIE facility code: DE2405 NG working volume 157.349 million standard m3: GIE NG working-gas energy, technical TWh. NG working energy 1.794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</si>
  <si>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Schönkirchen/Reyersdorf</t>
  </si>
  <si>
    <t>Source: GIE 2026 facility-level storage database (https://www.gie.eu/transparency/databases/storage-database/) GIE facility code: AT0301 NG working energy 22.18 TWh: GIE technical working-gas energy, NOT H2. Qualifications: Capacity only; independent site geology/pressure source needed. Facility code distinguishes same-named units. Still missing: depth, minimum reservoir pressure, maximum reservoir pressure, abandonment pressure</t>
  </si>
  <si>
    <t>Sergnano</t>
  </si>
  <si>
    <t>Source: SciGRID IGGI upstream raw fields (original sources not individually verified) (https://doi.org/10.5281/zenodo.4288468) NG working volume 2,400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</si>
  <si>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Serrablo</t>
  </si>
  <si>
    <t>Source: GIE 2026 facility-level storage database (https://www.gie.eu/transparency/databases/storage-database/) Additional source: SciGRID IGGI four raw fields (https://doi.org/10.5281/zenodo.4288468) GIE facility code: ES0103 NG working volume 917.319 million standard m3: GIE NG working-gas energy, technical TWh. NG working energy 9.73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</si>
  <si>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Settala</t>
  </si>
  <si>
    <t>Source: IMPIANTI CONCESSIONE SETTALA STOCCAGGIO – Stabilimento di SETTALA (MI) (https://inlinea.cittametropolitana.mi.it/files/aia/Rg%2010910.15%20Stogit.pdf) Additional source: https://doi.org/10.5281/zenodo.4288468; https://doi.org/10.3390/su15086886 NG working volume 1,745 million standard m3: SciGRID NG max_workingGas_M_m3; standard-volume basis not independently verified. H2 reference GWh: NG standard working volume × 0.0852 kg/m3 × 33.33 kWh/kg; VOLUME-EQUIVALENT SCREENING ONLY, NOT a physically modelled H2 working capacity. Depth basis: SciGRID raw structure depth (1130 m); official Stogit documentation gives pressure datum at 1158 m Pressure basis: Static average reservoir pressure at start of storage from official Stogit permit documentation; min/max operating pressures from raw SciGRID storage attributes Qualifications: Compiled from official permit documentation plus SciGRID. The main SAN P/E reservoir entered storage service in 1986 at the end of primary production. The official Stogit document reports that static average pressure had declined from 140.4 kg/cm²(a) to 103.6 kg/cm²(a) at a datum of 1158 m; the latter converts to ~101.60 bar(a) and is used as model_abandonment_pressure_bar. SciGRID independently reports raw depth=1130 m, Pmin=105.2 bar and Pmax=136.7 bar. The SciGRID maximum closely matches the converted original static pressure (~137.7 bar), which supports combining the two sources. The peer-reviewed Italian UHS survey is retained as a DOI-backed contextual source. | Further: SciGRID IGGI four raw fields https://doi.org/10.5281/zenodo.4288468 | H2 screening equivalent=NG standard volume x 0.0852 kg/m3 x 33.33 kWh/kg; NOT site-validated H2 working capacity</t>
  </si>
  <si>
    <t>Shuang 6</t>
  </si>
  <si>
    <t>China</t>
  </si>
  <si>
    <t>Source: Pore Structure Evolution in Sandstone of Underground Gas Storage during Cyclic Injection and Production Based on Nuclear Magnetic Resonance Technology (https://doi.org/10.3390/en16052096) Additional source: https://doi.org/10.13639/j.odpt.2022.06.016 Depth basis: Midpoint of reported 2400–2900 m target-reservoir interval Pressure basis: Formation pressure; UGS operating formation-pressure range Qualifications: Initial formation pressure ~242.7 bar, falling to ~50 bar after depletion. Published operation range is ~100–248 bar; another operational/safety source uses 100–240 bar. Depth is represented by the midpoint of the 2400–2900 m interval. Still missing: working capacity</t>
  </si>
  <si>
    <t>Silivri (Marmara)</t>
  </si>
  <si>
    <t>Türkiye</t>
  </si>
  <si>
    <t>Source: GIE 2026 facility-level storage database (https://www.gie.eu/transparency/databases/storage-database/) GIE facility code: TR0102 NG working energy 52.9 TWh: GIE technical working-gas energy, NOT H2. Qualifications: Capacity only; independent site geology/pressure source needed. Facility code distinguishes same-named units. Still missing: depth, minimum reservoir pressure, maximum reservoir pressure, abandonment pressure</t>
  </si>
  <si>
    <t>Strachocina</t>
  </si>
  <si>
    <t>Source: GIE 2026 facility-level storage database (https://www.gie.eu/transparency/databases/storage-database/) Additional source: SciGRID IGGI four raw fields (https://doi.org/10.5281/zenodo.4288468) GIE facility code: PL0107 NG working energy 5.835 TWh: GIE technical working-gas energy, NOT H2. Qualifications: Capacity only; independent site geology/pressure source needed. Facility code distinguishes same-named units. | DATA QA REJECTION: NG GIE energy/NG reported volume implies 15.28 kWh/m3 (outside 8-14 indicative window); rejected conflicting NG-volume field, retained GIE working TWh Still missing: depth, minimum reservoir pressure, maximum reservoir pressure, abandonment pressure SciGRID alternative imputed fields (NOT adopted as site observations): depth=1237.28 (Lasso estimate), minimum pressure=78.78 (Lasso estimate), maximum pressure=187.73 (Lasso estimate). https://doi.org/10.5281/zenodo.4288468 .</t>
  </si>
  <si>
    <t>Stramberk</t>
  </si>
  <si>
    <t>Source: SciGRID IGGI upstream raw fields (original sources not individually verified) (https://doi.org/10.5281/zenodo.4288468) NG working volume 435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</si>
  <si>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Swarzow</t>
  </si>
  <si>
    <t>Source: GIE 2026 facility-level storage database (https://www.gie.eu/transparency/databases/storage-database/) Additional source: SciGRID IGGI four raw fields (https://doi.org/10.5281/zenodo.4288468) GIE facility code: PL0105 NG working volume 95.032 million standard m3: GIE NG working-gas energy, technical TWh. NG working energy 0.845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</si>
  <si>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Szöreg-1</t>
  </si>
  <si>
    <t>Source: GIE 2026 facility-level storage database (https://www.gie.eu/transparency/databases/storage-database/) GIE facility code: HU0201 NG working energy 20.113 TWh: GIE technical working-gas energy, NOT H2. Qualifications: Capacity only; independent site geology/pressure source needed. Facility code distinguishes same-named units. Still missing: depth, minimum reservoir pressure, maximum reservoir pressure, abandonment pressure</t>
  </si>
  <si>
    <t>Tallesbrunn</t>
  </si>
  <si>
    <t>Source: GIE 2026 facility-level storage database (https://www.gie.eu/transparency/databases/storage-database/) Additional source: SciGRID IGGI four raw fields (https://doi.org/10.5281/zenodo.4288468) GIE facility code: AT0302 NG working volume 426.511 million standard m3: GIE NG working-gas energy, technical TWh. NG working energy 4.59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</si>
  <si>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Tranovice</t>
  </si>
  <si>
    <t>Source: SciGRID IGGI upstream raw fields (original sources not individually verified) (https://doi.org/10.5281/zenodo.4288468) NG working volume 421.42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</si>
  <si>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Tvrdonice</t>
  </si>
  <si>
    <t>Source: SciGRID IGGI upstream raw fields (original sources not individually verified) (https://doi.org/10.5281/zenodo.4288468) NG working volume 28.715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abandonment pressure</t>
  </si>
  <si>
    <t>Târgu Mureş</t>
  </si>
  <si>
    <t>Source: GIE 2026 facility-level storage database (https://www.gie.eu/transparency/databases/storage-database/) GIE facility code: RO0201 NG working energy 3.155 TWh: GIE technical working-gas energy, NOT H2. Qualifications: Capacity only; independent site geology/pressure source needed. Facility code distinguishes same-named units. Still missing: depth, minimum reservoir pressure, maximum reservoir pressure, abandonment pressure</t>
  </si>
  <si>
    <t>Uelsen</t>
  </si>
  <si>
    <t>Source: HyUnder D3.1 site description (https://hyunder.eu/wp-content/uploads/2016/01/D3.1_Overview-of-all-known-underground-storage-technologies.pdf) Additional source: SciGRID IGGI four raw fields (https://doi.org/10.5281/zenodo.4288468) GIE 2026 facility code DE2406: https://www.gie.eu/transparency/databases/storage-database/ NG working volume 850 million standard m3: GIE NG working-gas energy, technical TWh. NG working energy 9.89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Further: GIE 2026 facility-level storage database https://www.gie.eu/transparency/databases/storage-database/ | HyUnder NG working=850 MSm3 vs other source=894.88073909 MSm3; vintages differ | Used HyUnder site-specific NG capacity in preference to SciGRID raw, pending original-source reconciliation | DGF NG, section 4.2/table 4-1; 750 in H2 row appears inconsistent; do NOT adopt | H2 screening equivalent=NG standard volume x 0.0852 kg/m3 x 33.33 kWh/kg; NOT site-validated H2 working capacity Still missing: abandonment pressure</t>
  </si>
  <si>
    <t>Uhřice</t>
  </si>
  <si>
    <t>Source: GIE 2026 facility-level storage database (https://www.gie.eu/transparency/databases/storage-database/) Additional source: SciGRID IGGI four raw fields (https://doi.org/10.5281/zenodo.4288468) GIE facility code: CZ0201 NG working energy 3.704 TWh: GIE technical working-gas energy, NOT H2. Qualifications: Capacity only; independent site geology/pressure source needed. Facility code distinguishes same-named units. | DATA QA REJECTION: NG GIE energy/NG reported volume implies 14.53 kWh/m3 (outside 8-14 indicative window); rejected conflicting NG-volume field, retained GIE working TWh Still missing: depth, minimum reservoir pressure, maximum reservoir pressure, abandonment pressure SciGRID alternative imputed fields (NOT adopted as site observations): depth=1108.12 (Lasso estimate), minimum pressure=57.47 (Median estimate), maximum pressure=138.16 (Lasso estimate). https://doi.org/10.5281/zenodo.4288468 .</t>
  </si>
  <si>
    <t>Urziceni</t>
  </si>
  <si>
    <t>Source: GIE 2026 facility-level storage database (https://www.gie.eu/transparency/databases/storage-database/) Additional source: SciGRID IGGI four raw fields (https://doi.org/10.5281/zenodo.4288468) GIE facility code: RO0105 NG working volume 368.549 million standard m3: GIE NG working-gas energy, technical TWh. NG working energy 3.852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</si>
  <si>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Wierzchowice</t>
  </si>
  <si>
    <t>Source: GIE 2026 facility-level storage database (https://www.gie.eu/transparency/databases/storage-database/) Additional source: SciGRID IGGI four raw fields (https://doi.org/10.5281/zenodo.4288468) GIE facility code: PL0101 NG working volume 1,244.461 million standard m3: GIE NG working-gas energy, technical TWh. NG working energy 14.729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abandonment pressure</t>
  </si>
  <si>
    <t>Wolfersberg</t>
  </si>
  <si>
    <t>Source: GIE 2026 facility-level storage database (https://www.gie.eu/transparency/databases/storage-database/) Additional source: SciGRID IGGI four raw fields (https://doi.org/10.5281/zenodo.4288468) GIE facility code: DE0201 NG working volume 388.508 million standard m3: GIE NG working-gas energy, technical TWh. NG working energy 4.165 TWh: GIE technical working-gas energy, NOT H2. H2 reference GWh: NG standard working volume × 0.0852 kg/m3 × 33.33 kWh/kg; VOLUME-EQUIVALENT SCREENING ONLY, NOT a physically modelled H2 working capacity. Depth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minimum reservoir pressure, maximum reservoir pressure, abandonment pressure SciGRID alternative imputed fields (NOT adopted as site observations): minimum pressure=130.24 (Lasso estimate), maximum pressure=259.26 (Lasso estimate). https://doi.org/10.5281/zenodo.4288468 .</t>
  </si>
  <si>
    <t>Xiangguosi</t>
  </si>
  <si>
    <t>Source: Disturbance and Control of National Strategic Gas Storage Induced by Adjacent Tunnel Blasting (https://doi.org/10.3389/feart.2021.807073) Additional source: https://doi.org/10.1016/j.petrol.2018.07.061 Depth basis: Midpoint of reported 2000–3000 m reservoir burial range Pressure basis: Designed reservoir operating pressure; pre-conversion average formation pressure Qualifications: Reservoir burial is reported as a broad 2000–3000 m interval, so 2500 m is a derived midpoint. Pre-UGS average formation pressure reported ~2.38 MPa; operating reservoir range 13.2–28 MPa. Still missing: working capacity</t>
  </si>
  <si>
    <t>Zsana</t>
  </si>
  <si>
    <t>Source: World Bank Staff Appraisal Report: Hungary Energy Development and Conservation Project (Zsana-North UGS component) (https://documents1.worldbank.org/curated/en/789231468250194092/pdf/multi-page.pdf) Additional source: https://doi.org/10.5281/zenodo.4288468; https://ombke.hu/wp-content/uploads/2022/12/koolaj2010_03.pdf; https://mfgt.hu/-/media/MFGT/Ugyfelek/Uzletszabalyzat/MFGT-USZ-20210705_english.pdf GIE 2026 facility code HU0104: https://www.gie.eu/transparency/databases/storage-database/ NG working volume 2,171.085 million standard m3: GIE NG working-gas energy, technical TWh. NG working energy 23.45 TWh: GIE technical working-gas energy, NOT H2. H2 reference GWh: NG standard working volume × 0.0852 kg/m3 × 33.33 kWh/kg; VOLUME-EQUIVALENT SCREENING ONLY, NOT a physically modelled H2 working capacity. Depth basis: SciGRID raw depth=1850 m; Hungarian operator documentation gives average reservoir depth ~1880–1920 m Pressure basis: Coherent least-cost Zsana-North conversion design from World Bank appraisal: depletion to 60 bar, then 65–140 bar storage operation Qualifications: A deliberate design-case rather than a reconstruction of one later operating year. The 1989 World Bank appraisal evaluated six Zsana-North conversion alternatives; the least-cost Alternative 6 assumed further depletion to 60 bar before conversion and a 65–140 bar operating range. These three values are used because they form one internally coherent documented conversion design. Later Hungarian historical material states that production was actually stopped in 1990 at ~98 bar to preserve cushion gas, and SciGRID reports raw depth=1850 m with a later 96–128 bar operating range. Combining the realized ~98 bar conversion state with the later 96 bar minimum would violate the model ordering P_preconversion &lt; P_min and would mix different operational eras. Therefore this row explicitly represents the World Bank design archetype, not the exact realized conversion state. Depth is anchored to the raw SciGRID value and is consistent with operator documentation (~1880–1920 m). | Further: GIE 2026 technical NG storage https://www.gie.eu/transparency/databases/storage-database/ | Further: SciGRID IGGI four raw fields https://doi.org/10.5281/zenodo.4288468 | Source discrepancy: earlier p_min_bar=65.0; SciGRID raw=96.0; do not automatically reconcile | Source discrepancy: earlier p_max_bar=140.0; SciGRID raw=128.0; do not automatically reconcile | H2 screening equivalent=NG standard volume x 0.0852 kg/m3 x 33.33 kWh/kg; NOT site-validated H2 working capacity | The old World Bank 65-140 bar values are a design alternative, not confirmed field operations; later SciGRID uses 96-128 bar. Verify scenario before selection.</t>
  </si>
  <si>
    <t>LRC</t>
  </si>
  <si>
    <t>EU CORDIS planned LRC (Skallen development)</t>
  </si>
  <si>
    <t>Sweden (concept)</t>
  </si>
  <si>
    <t>Source: European Commission CORDIS FP4 LRC project record (https://cordis.europa.eu/project/id/OG.-00270-97) Geometric cavern volume per cavern 100,000 m3; not gas working volume. Depth basis: Project describes shallow LRC placement within 100–200 m; not as-built Skallen depth Pressure basis: Design maximum up to 25 MPa; no explicit minimum Qualifications: Early engineering design of a 100,000 m3 cavern; linked to development of Skallen but NOT a distinct built installation. H2 working-gas estimate unavailable. Still missing: working capacity, minimum reservoir pressure</t>
  </si>
  <si>
    <t>HYBRIT Svartöberget hydrogen pilot</t>
  </si>
  <si>
    <t>Sweden</t>
  </si>
  <si>
    <t>Source: HYBRIT developer pilot description (https://www.hybritdevelopment.se/en/hybrits-hydrogen-storage-won-ny-tekniks-grand-prize-for-engineering-2025-in-sustainability/) Additional source: HYBRIT pilot and full-scale descriptions (https://www.hybritdevelopment.se/en/a-fossil-free-development/hydrogen-storage/) Geometric cavern volume per cavern 100 m3; not gas working volume. Depth basis: Developer describes cavern as approximately 30 m underground Pressure basis: Developer-stated pilot maximum pressure; minimum unknown Qualifications: Constructed 100 m3 pure-H2 pilot. Developer reports approximately 2 t MAXIMUM inventory, not 2 t working gas. Commercially unrepresentative size; include only as technology demonstration. No validated minimum operating pressure / working-gas energy. Still missing: working capacity, minimum reservoir pressure</t>
  </si>
  <si>
    <t>HYBRIT proposed commercial-scale LRC</t>
  </si>
  <si>
    <t>Source: HYBRIT developer full-scale hydrogen storage proposal (https://www.hybritdevelopment.se/en/a-fossil-free-development/hydrogen-storage/) Geometric cavern volume per cavern 100,000–120,000 m3; not gas working volume. Qualifications: Proposal specifies 100,000–120,000 m3 physical cavern. Developer mentions up to 100 GWh of electricity converted into H2; this is NOT an independently demonstrated H2 WORKING capacity. Do not transfer the 250 bar maximum or 30 m depth of the separate pilot to this design. Overlaps KTH design programme; not an independent operating site. Still missing: working capacity, depth, minimum reservoir pressure, maximum reservoir pressure</t>
  </si>
  <si>
    <t>KTH HYBRIT LRC pre-study (2018)</t>
  </si>
  <si>
    <t>Source: Johansson et al. (2018), KTH HYBRIT research pre-study (https://kth.diva-portal.org/smash/get/diva2%3A1221714/FULLTEXT01.pdf) Geometric cavern volume per cavern 50,000–150,000 m3; not gas working volume. Qualifications: Required GEOMETRIC volume range 50,000–150,000 m3 and ability to withstand MAXIMUM operating pressure of AT LEAST 200 bar. This is a lower bound on required pmax, NOT an operating pmax of 200 bar; therefore both numeric pressure columns remain blank. No pmin, specific depth or H2 working capacity provided. Derived from Skallen experience, not a commissioned cavern. Still missing: working capacity, depth, minimum reservoir pressure, maximum reservoir pressure</t>
  </si>
  <si>
    <t>Skallen</t>
  </si>
  <si>
    <t>Source: HyUnder D3.1 site description (https://hyunder.eu/wp-content/uploads/2016/01/D3.1_Overview-of-all-known-underground-storage-technologies.pdf) Additional source: SciGRID IGGI four raw fields (https://doi.org/10.5281/zenodo.4288468) GIE 2026 facility code SE0101: https://www.gie.eu/transparency/databases/storage-database/ NG working volume 9.899 million standard m3: GIE NG working-gas energy, technical TWh. NG working energy 0.103 TWh: GIE technical working-gas energy, NOT H2. Geometric cavern volume per cavern 40,000 m3; not gas working volume. H2 reference GWh: HyUnder possible working-gas estimate; a publisher calculation, NOT a demonstrated working capacity. Depth basis: HyUnder site description Pressure basis: HyUnder NG site operating/design pressure description Qualifications: Capacity only; independent site geology/pressure source needed. Facility code distinguishes same-named units. | Further: GIE 2026 facility-level storage database https://www.gie.eu/transparency/databases/storage-database/ | HyUnder calculated possible H2 working mass, not an independently observed/validated working capacity | Realised NG lined-rock cavern; pressure/depth site-specific; H2 possible mass is interpolated | Further: Johansson et al. (2018), KTH Skallen geometry https://kth.diva-portal.org/smash/get/diva2%3A1221714/FULLTEXT01.pdf | KTH 2018 reports 40,000 m3 geometric volume, 115 m rock cover and 20–200 bar operating range; HyUnder table instead gives 10–230 bar, currently retained in numeric columns. Resolve pressure vintage/definition before selecting this as a baseline. | H2 screening equivalent=NG standard volume x 0.0852 kg/m3 x 33.33 kWh/kg; NOT site-validated H2 working capacity SciGRID alternative imputed fields (NOT adopted as site observations): depth=1108.12 (Lasso estimate), minimum pressure=57.47 (Median estimate), maximum pressure=138.16 (Lasso estimate). https://doi.org/10.5281/zenodo.4288468 .</t>
  </si>
  <si>
    <t>Sofregaz commercial LRC (OSTI 774913)</t>
  </si>
  <si>
    <t>United States (concept)</t>
  </si>
  <si>
    <t>Source: Sofregaz / US DOE commercial LRC feasibility study (1999), OSTI 774913 (https://digital.library.unt.edu/ark:/67531/metadc717076/m1/64/) NG working volume 74 million standard m3: Design natural-gas working volume for FOUR caverns; not H2. Geometric cavern volume per cavern 80,000 m3; not gas working volume. Depth basis: Original report estimates minimum cavern depth ~150 m, not an observed exact reference depth Pressure basis: Original NG design operating pressure limits, Section 5.2.1 Qualifications: Engineering design only; four 80,000 m3 caverns = 320,000 m3 geometric facility volume. 74 million Sm3 is FACILITY NG working gas, NOT H2. The separately described 95 m x ~37 m nominal cylinder exceeds tabulated 80,000 m3, so verify detailed cavern shape/drawing before geometric modelling. Original Table 5.2.1 / printed p.53.</t>
  </si>
  <si>
    <t>SA</t>
  </si>
  <si>
    <t>Cere La Ronde</t>
  </si>
  <si>
    <t>FR</t>
  </si>
  <si>
    <t>Source: SciGRID IGGI upstream raw fields (original sources not individually verified) (https://doi.org/10.5281/zenodo.4288468) NG working volume 1,259.734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minimum reservoir pressure SciGRID alternative imputed fields (NOT adopted as site observations): minimum pressure=49.73 (Lasso estimate). https://doi.org/10.5281/zenodo.4288468 .</t>
  </si>
  <si>
    <t>Cerville</t>
  </si>
  <si>
    <t>Source: SciGRID IGGI upstream raw fields (original sources not individually verified) (https://doi.org/10.5281/zenodo.4288468) NG working volume 1,574.432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minimum reservoir pressure SciGRID alternative imputed fields (NOT adopted as site observations): minimum pressure=32.19 (Lasso estimate). https://doi.org/10.5281/zenodo.4288468 .</t>
  </si>
  <si>
    <t>Chemery</t>
  </si>
  <si>
    <t>Source: SciGRID IGGI upstream raw fields (original sources not individually verified) (https://doi.org/10.5281/zenodo.4288468) NG working volume 7.542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minimum reservoir pressure SciGRID alternative imputed fields (NOT adopted as site observations): minimum pressure=56.75 (Lasso estimate). https://doi.org/10.5281/zenodo.4288468 .</t>
  </si>
  <si>
    <t>Eschenfelden</t>
  </si>
  <si>
    <t>Source: SciGRID IGGI upstream raw fields (original sources not individually verified) (https://doi.org/10.5281/zenodo.4288468) NG working volume 26.021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</si>
  <si>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Frankenthal</t>
  </si>
  <si>
    <t>Source: GIE 2026 facility-level storage database (https://www.gie.eu/transparency/databases/storage-database/) Additional source: SciGRID IGGI four raw fields (https://doi.org/10.5281/zenodo.4288468) GIE facility code: DE0801 NG working volume 83.718 million standard m3: GIE NG working-gas energy, technical TWh. NG working energy 0.968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t>
  </si>
  <si>
    <t>Germigny Sous Coulombs</t>
  </si>
  <si>
    <t>Source: SciGRID IGGI upstream raw fields (original sources not individually verified) (https://doi.org/10.5281/zenodo.4288468) NG working volume 2.828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minimum reservoir pressure SciGRID alternative imputed fields (NOT adopted as site observations): minimum pressure=47.34 (Lasso estimate). https://doi.org/10.5281/zenodo.4288468 .</t>
  </si>
  <si>
    <t>Gournay Sur Aronde</t>
  </si>
  <si>
    <t>Source: SciGRID IGGI upstream raw fields (original sources not individually verified) (https://doi.org/10.5281/zenodo.4288468) NG working volume 1,235.033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minimum reservoir pressure SciGRID alternative imputed fields (NOT adopted as site observations): minimum pressure=42.16 (Lasso estimate). https://doi.org/10.5281/zenodo.4288468 .</t>
  </si>
  <si>
    <t>Haehnlein</t>
  </si>
  <si>
    <t>DE</t>
  </si>
  <si>
    <t>Source: SciGRID IGGI upstream raw fields (original sources not individually verified) (https://doi.org/10.5281/zenodo.4288468) NG working volume 85.227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</si>
  <si>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Hähnlein</t>
  </si>
  <si>
    <t>Source: HyUnder D3.1 site description (https://hyunder.eu/wp-content/uploads/2016/01/D3.1_Overview-of-all-known-underground-storage-technologies.pdf) NG working volume 85 million standard m3: HyUnder reported NG working volume, million m3(st). H2 reference GWh: HyUnder possible working-gas estimate; a publisher calculation, NOT a demonstrated working capacity. Depth basis: HyUnder site description Pressure basis: HyUnder reported NG operating range; SciGRID may refer to other period/regime Qualifications: HyUnder calculated possible H2 working mass, not an independently observed/validated working capacity | Aquifer NG, original site details: section 3.2/table 3-1 | H2 screening equivalent=NG standard volume x 0.0852 kg/m3 x 33.33 kWh/kg; NOT site-validated H2 working capacity | HyUnder operating-site figures date from 2013; GIE 2026 gives no positive site technical capacity; verify current status/vintage</t>
  </si>
  <si>
    <t>Inčukalns</t>
  </si>
  <si>
    <t>Latvia</t>
  </si>
  <si>
    <t>Source: GIE 2026 facility-level storage database (https://www.gie.eu/transparency/databases/storage-database/) Additional source: SciGRID IGGI four raw fields (https://doi.org/10.5281/zenodo.4288468) GIE facility code: LV0101 NG working energy 24.86 TWh: GIE technical working-gas energy, NOT H2.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DATA QA REJECTION: NG GIE energy/NG reported volume implies 49.94 kWh/m3 (outside 8-14 indicative window); rejected conflicting NG-volume field, retained GIE working TWh</t>
  </si>
  <si>
    <t>Izaute</t>
  </si>
  <si>
    <t>France</t>
  </si>
  <si>
    <t>Source: SciGRID IGGI upstream raw fields (original sources not individually verified) (https://doi.org/10.5281/zenodo.4288468) NG working volume 1,350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</si>
  <si>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Ketzin (site-specific H2 model)</t>
  </si>
  <si>
    <t>Source: Sensitivity analysis of geological parameters to evaluate uncertainty in underground hydrogen storage performance for a saline aquifer at Ketzin (Germany) (https://doi.org/10.1007/s40948-025-00982-y) Depth basis: Midpoint of modelled Stuttgart Formation interval 536–661 m Pressure basis: Bottom-hole production/injection pressure limits (BHP), not reservoir-average pressure Qualifications: Pure-H2 site-specific saline-aquifer simulation. Pressure limits are BHP: 48 bar production and 83 bar injection. Depth representative is the midpoint of the 536–661 m model interval. SA model abandonment=0 is a bookkeeping convention. | Site-specific H2 model; check whether study provides working H2 mass before assuming any capacity Still missing: working capacity</t>
  </si>
  <si>
    <t>Lobodice</t>
  </si>
  <si>
    <t>Source: Assessing and modeling hydrogen reactivity in underground hydrogen storage: A review and models simulating the Lobodice town gas storage (https://doi.org/10.3389/fenrg.2023.1145978) Additional source: https://doi.org/10.1039/D2EE00765G NG working volume 150 million standard m3: SciGRID NG max_workingGas_M_m3; standard-volume basis not independently verified. H2 reference GWh: NG standard working volume × 0.0852 kg/m3 × 33.33 kWh/kg; VOLUME-EQUIVALENT SCREENING ONLY, NOT a physically modelled H2 working capacity. Depth basis: Historical aquifer depth reported around 400–500 m; 500 m representative Pressure basis: Historical exploitation pressure range Qualifications: Historical aquifer town-gas storage with substantial H2 content. Exploitation pressure reported as 4.5–5.9 MPa. Not pure-H2 storage. SA model abandonment=0 is a modelling convention only. | Further: SciGRID IGGI four raw fields https://doi.org/10.5281/zenodo.4288468 | Source discrepancy: earlier depth_m=500.0; SciGRID raw=400.0; do not automatically reconcile | Source discrepancy: earlier p_min_bar=45.0; SciGRID raw=38.0; do not automatically reconcile | Source discrepancy: earlier p_max_bar=59.0; SciGRID raw=56.0; do not automatically reconcile | H2 screening equivalent=NG standard volume x 0.0852 kg/m3 x 33.33 kWh/kg; NOT site-validated H2 working capacity</t>
  </si>
  <si>
    <t>Loenhout</t>
  </si>
  <si>
    <t>Belgium</t>
  </si>
  <si>
    <t>Source: GIE 2026 facility-level storage database (https://www.gie.eu/transparency/databases/storage-database/) Additional source: SciGRID IGGI four raw fields (https://doi.org/10.5281/zenodo.4288468) GIE facility code: BE0101 NG working volume 771.472 million standard m3: GIE NG working-gas energy, technical TWh. NG working energy 7.61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t>
  </si>
  <si>
    <t>Lussagnet</t>
  </si>
  <si>
    <t>Source: SciGRID IGGI upstream raw fields (original sources not individually verified) (https://doi.org/10.5281/zenodo.4288468) NG working volume 33.014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</si>
  <si>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Saint Illiers La Ville</t>
  </si>
  <si>
    <t>Source: SciGRID IGGI upstream raw fields (original sources not individually verified) (https://doi.org/10.5281/zenodo.4288468) NG working volume 600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 Still missing: minimum reservoir pressure SciGRID alternative imputed fields (NOT adopted as site observations): minimum pressure=32.19 (Lasso estimate). https://doi.org/10.5281/zenodo.4288468 .</t>
  </si>
  <si>
    <t>Sandhausen</t>
  </si>
  <si>
    <t>Source: GIE 2026 facility-level storage database (https://www.gie.eu/transparency/databases/storage-database/) Additional source: SciGRID IGGI four raw fields (https://doi.org/10.5281/zenodo.4288468) GIE facility code: DE2601 NG working volume 32.526 million standard m3: GIE NG working-gas energy, technical TWh. NG working energy 0.345 TWh: GIE technical working-gas energy, NOT H2. H2 reference GWh: NG standard working volume × 0.0852 kg/m3 × 33.33 kWh/kg; VOLUME-EQUIVALENT SCREENING ONLY, NOT a physically modelled H2 working capacity. Depth basis: SciGRID upstream raw; unverified against original site publication Qualifications: Capacity only; independent site geology/pressure source needed. Facility code distinguishes same-named units. | H2 screening equivalent=NG standard volume x 0.0852 kg/m3 x 33.33 kWh/kg; NOT site-validated H2 working capacity Still missing: minimum reservoir pressure, maximum reservoir pressure SciGRID alternative imputed fields (NOT adopted as site observations): minimum pressure=18.24 (Lasso estimate), maximum pressure=72.88 (Lasso estimate). https://doi.org/10.5281/zenodo.4288468 .</t>
  </si>
  <si>
    <t>Stenlille</t>
  </si>
  <si>
    <t>Denmark</t>
  </si>
  <si>
    <t>Source: HyUnder D3.1 site description (https://hyunder.eu/wp-content/uploads/2016/01/D3.1_Overview-of-all-known-underground-storage-technologies.pdf) Additional source: SciGRID IGGI upstream raw fields (original sources not individually verified) (https://doi.org/10.5281/zenodo.4288468) NG working volume 370 million standard m3: SciGRID NG max_workingGas_M_m3; standard-volume basis not independently verified. H2 reference GWh: HyUnder possible working-gas estimate; a publisher calculation, NOT a demonstrated working capacity. Depth basis: SciGRID upstream raw; unverified against original site publication Pressure basis: HyUnder reported NG operating range; SciGRID may refer to other period/regime Qualifications: All four upstream SciGRID field methods are raw; original measurement source still needs checking. | Pressure discrepancy: SciGRID/original p_min_bar=130.0 vs HyUnder=150; HyUnder site description used | Pressure discrepancy: SciGRID/original p_max_bar=172.0 vs HyUnder=170; HyUnder site description used | HyUnder NG working=370 MSm3 vs other source=400.0 MSm3; vintages differ | Used HyUnder site-specific NG capacity in preference to SciGRID raw, pending original-source reconciliation | HyUnder calculated possible H2 working mass, not an independently observed/validated working capacity | Aquifer NG, original site details: section 3.2/table 3-1; other dataset pressure limits differ | H2 screening equivalent=NG standard volume x 0.0852 kg/m3 x 33.33 kWh/kg; NOT site-validated H2 working capacity | HyUnder operating-site figures date from 2013; GIE 2026 gives no positive site technical capacity; verify current status/vintage</t>
  </si>
  <si>
    <t>Stockstadt_Aquifer</t>
  </si>
  <si>
    <t>Source: SciGRID IGGI upstream raw fields (original sources not individually verified) (https://doi.org/10.5281/zenodo.4288468) NG working volume 135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</si>
  <si>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VSG MND GSG</t>
  </si>
  <si>
    <t>Source: GIE 2026 facility-level storage database (https://www.gie.eu/transparency/databases/storage-database/) GIE facility code: DE17V2 NG working energy 2.35 TWh: GIE technical working-gas energy, NOT H2. Qualifications: Capacity only; independent site geology/pressure source needed. Facility code distinguishes same-named units. Still missing: depth, minimum reservoir pressure, maximum reservoir pressure</t>
  </si>
  <si>
    <t>Yela</t>
  </si>
  <si>
    <t>Source: GIE 2026 facility-level storage database (https://www.gie.eu/transparency/databases/storage-database/) Additional source: SciGRID IGGI four raw fields (https://doi.org/10.5281/zenodo.4288468) GIE facility code: ES0104 NG working energy 7.025 TWh: GIE technical working-gas energy, NOT H2. Qualifications: Capacity only; independent site geology/pressure source needed. Facility code distinguishes same-named units. | DATA QA REJECTION: NG GIE energy/NG reported volume implies 48.29 kWh/m3 (outside 8-14 indicative window); rejected conflicting NG-volume field, retained GIE working TWh Still missing: depth, minimum reservoir pressure, maximum reservoir pressure SciGRID alternative imputed fields (NOT adopted as site observations): depth=1619.87 (Lasso estimate), minimum pressure=85.25 (Lasso estimate), maximum pressure=199.95 (Lasso estimate). https://doi.org/10.5281/zenodo.4288468 .</t>
  </si>
  <si>
    <t>SC</t>
  </si>
  <si>
    <t>Aldbrough I</t>
  </si>
  <si>
    <t>Source: GIE 2026 facility-level storage database (https://www.gie.eu/transparency/databases/storage-database/) GIE facility code: GB0401 NG working energy 3.17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</si>
  <si>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Bernburg</t>
  </si>
  <si>
    <t>Source: SciGRID IGGI upstream raw fields (original sources not individually verified) (https://doi.org/10.5281/zenodo.4288468) NG working volume 876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</si>
  <si>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Bremen-Lesum</t>
  </si>
  <si>
    <t>Source: GIE 2026 facility-level storage database (https://www.gie.eu/transparency/databases/storage-database/) GIE facility code: DE2401 NG working energy 1.69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</si>
  <si>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Bruggraf Bernsdorf</t>
  </si>
  <si>
    <t>Source: SciGRID IGGI upstream raw fields (original sources not individually verified) (https://doi.org/10.5281/zenodo.4288468) NG working volume 3.253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</si>
  <si>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Carriço</t>
  </si>
  <si>
    <t>Portugal</t>
  </si>
  <si>
    <t>Source: GIE 2026 facility-level storage database (https://www.gie.eu/transparency/databases/storage-database/) Additional source: SciGRID IGGI four raw fields (https://doi.org/10.5281/zenodo.4288468) GIE facility code: PT0101 NG working volume 336.57 million standard m3: GIE NG working-gas energy, technical TWh. NG working energy 3.834 TWh: GIE technical working-gas energy, NOT H2. H2 reference GWh: NG standard working volume × 0.0852 kg/m3 × 33.33 kWh/kg; VOLUME-EQUIVALENT SCREENING ONLY, NOT a physically modelled H2 working capacity.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 Still missing: depth, minimum reservoir pressure, maximum reservoir pressure SciGRID alternative imputed fields (NOT adopted as site observations): depth=1542.03 (Lasso estimate), minimum pressure=84.85 (Lasso estimate), maximum pressure=196.71 (Lasso estimate). https://doi.org/10.5281/zenodo.4288468 .</t>
  </si>
  <si>
    <t>Clemens</t>
  </si>
  <si>
    <t>United States</t>
  </si>
  <si>
    <t>Source: HyUnder D3.1 site description (https://hyunder.eu/wp-content/uploads/2016/01/D3.1_Overview-of-all-known-underground-storage-technologies.pdf) H2 reference GWh: HyUnder possible working-gas estimate; a publisher calculation, NOT a demonstrated working capacity. Depth basis: HyUnder site description Pressure basis: HyUnder NG site operating/design pressure description Qualifications: HyUnder calculated possible H2 working mass, not an independently observed/validated working capacity | Operating hydrogen salt cavern; publisher possible H2 working mass table 2-1</t>
  </si>
  <si>
    <t>EPE MET ES</t>
  </si>
  <si>
    <t>Source: GIE 2026 facility-level storage database (https://www.gie.eu/transparency/databases/storage-database/) GIE facility code: DE1303 NG working energy 2.058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</si>
  <si>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EWE H-Gas Zone (Huntorf/Nüttermoor)</t>
  </si>
  <si>
    <t>Source: GIE 2026 facility-level storage database (https://www.gie.eu/transparency/databases/storage-database/) GIE facility code: DE1001 NG working energy 4.18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</si>
  <si>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EWE L-Gas Zone (Nüttermoor)</t>
  </si>
  <si>
    <t>Source: GIE 2026 facility-level storage database (https://www.gie.eu/transparency/databases/storage-database/) GIE facility code: DE1002 NG working energy 1.4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</si>
  <si>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Empelde</t>
  </si>
  <si>
    <t>Source: GIE 2026 facility-level storage database (https://www.gie.eu/transparency/databases/storage-database/) Additional source: SciGRID IGGI four raw fields (https://doi.org/10.5281/zenodo.4288468) GIE facility code: DE1201 NG working volume 290.563 million standard m3: GIE NG working-gas energy, technical TWh. NG working energy 3.7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t>
  </si>
  <si>
    <t>EnergyStock</t>
  </si>
  <si>
    <t>Source: GIE 2026 facility-level storage database (https://www.gie.eu/transparency/databases/storage-database/) Additional source: SciGRID IGGI four raw fields (https://doi.org/10.5281/zenodo.4288468) GIE facility code: NL0101 NG working volume 261.525 million standard m3: GIE NG working-gas energy, technical TWh. NG working energy 3.566 TWh: GIE technical working-gas energy, NOT H2. H2 reference GWh: NG standard working volume × 0.0852 kg/m3 × 33.33 kWh/kg; VOLUME-EQUIVALENT SCREENING ONLY, NOT a physically modelled H2 working capacity.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</si>
  <si>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Enschede-Epe (Eneco)</t>
  </si>
  <si>
    <t>Source: GIE 2026 facility-level storage database (https://www.gie.eu/transparency/databases/storage-database/) GIE facility code: DE0701 NG working energy 1.435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</si>
  <si>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Enschede-Epe (Nuon)</t>
  </si>
  <si>
    <t>Source: GIE 2026 facility-level storage database (https://www.gie.eu/transparency/databases/storage-database/) GIE facility code: DE1901 NG working energy 2.712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</si>
  <si>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Epe DE</t>
  </si>
  <si>
    <t>Source: GIE 2026 facility-level storage database (https://www.gie.eu/transparency/databases/storage-database/) GIE facility code: DE1501 NG working energy 2.53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</si>
  <si>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Epe NL</t>
  </si>
  <si>
    <t>Source: GIE 2026 facility-level storage database (https://www.gie.eu/transparency/databases/storage-database/) GIE facility code: DE1502 NG working energy 1.7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</si>
  <si>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Epe Trianel</t>
  </si>
  <si>
    <t>Source: GIE 2026 facility-level storage database (https://www.gie.eu/transparency/databases/storage-database/) Additional source: SciGRID IGGI four raw fields (https://doi.org/10.5281/zenodo.4288468) GIE facility code: DE2801 NG working volume 215.942 million standard m3: GIE NG working-gas energy, technical TWh. NG working energy 2.104 TWh: GIE technical working-gas energy, NOT H2. H2 reference GWh: NG standard working volume × 0.0852 kg/m3 × 33.33 kWh/kg; VOLUME-EQUIVALENT SCREENING ONLY, NOT a physically modelled H2 working capacity.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 Still missing: depth, minimum reservoir pressure, maximum reservoir pressure SciGRID alternative imputed fields (NOT adopted as site observations): depth=1253.97 (Lasso estimate), minimum pressure=74.31 (Lasso estimate), maximum pressure=206.45 (Lasso estimate). https://doi.org/10.5281/zenodo.4288468 .</t>
  </si>
  <si>
    <t>Epe Uniper H-Gas</t>
  </si>
  <si>
    <t>Source: GIE 2026 facility-level storage database (https://www.gie.eu/transparency/databases/storage-database/) GIE facility code: DE2903 NG working energy 15.379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</si>
  <si>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Epe Uniper L-Gas</t>
  </si>
  <si>
    <t>Source: GIE 2026 facility-level storage database (https://www.gie.eu/transparency/databases/storage-database/) GIE facility code: DE2904 NG working energy 1.605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</si>
  <si>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Epe_KGE</t>
  </si>
  <si>
    <t>Source: SciGRID IGGI upstream raw fields (original sources not individually verified) (https://doi.org/10.5281/zenodo.4288468) NG working volume 208.504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</si>
  <si>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Etrez</t>
  </si>
  <si>
    <t>Source: SciGRID IGGI upstream raw fields (original sources not individually verified) (https://doi.org/10.5281/zenodo.4288468) NG working volume 64.109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</si>
  <si>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Etzel</t>
  </si>
  <si>
    <t>Source: GIE 2026 facility-level storage database (https://www.gie.eu/transparency/databases/storage-database/) GIE facility code: DE0601 NG working energy 2.067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</si>
  <si>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Etzel (Crystal)</t>
  </si>
  <si>
    <t>Source: GIE 2026 facility-level storage database (https://www.gie.eu/transparency/databases/storage-database/) Additional source: SciGRID IGGI four raw fields (https://doi.org/10.5281/zenodo.4288468) GIE facility code: DE0301 NG working volume 228.245 million standard m3: GIE NG working-gas energy, technical TWh. NG working energy 1.95 TWh: GIE technical working-gas energy, NOT H2. H2 reference GWh: NG standard working volume × 0.0852 kg/m3 × 33.33 kWh/kg; VOLUME-EQUIVALENT SCREENING ONLY, NOT a physically modelled H2 working capacity.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</si>
  <si>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Etzel EGL [DE1101]</t>
  </si>
  <si>
    <t>Source: GIE 2026 facility-level storage database (https://www.gie.eu/transparency/databases/storage-database/) GIE facility code: DE1101 NG working energy 2.247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</si>
  <si>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Etzel EGL [DE2701]</t>
  </si>
  <si>
    <t>Source: GIE 2026 facility-level storage database (https://www.gie.eu/transparency/databases/storage-database/) GIE facility code: DE2701 NG working energy 0.063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</si>
  <si>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Etzel EGL [DE2906]</t>
  </si>
  <si>
    <t>Source: GIE 2026 facility-level storage database (https://www.gie.eu/transparency/databases/storage-database/) GIE facility code: DE2906 NG working energy 10.48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</si>
  <si>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Etzel EKB</t>
  </si>
  <si>
    <t>Source: GIE 2026 facility-level storage database (https://www.gie.eu/transparency/databases/storage-database/) Additional source: SciGRID IGGI four raw fields (https://doi.org/10.5281/zenodo.4288468) GIE facility code: DE0501 NG working volume 784.953 million standard m3: GIE NG working-gas energy, technical TWh. NG working energy 10.49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t>
  </si>
  <si>
    <t>Etzel ESE MET S</t>
  </si>
  <si>
    <t>Source: GIE 2026 facility-level storage database (https://www.gie.eu/transparency/databases/storage-database/) GIE facility code: DE1301 NG working energy 1.429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</si>
  <si>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Etzel ESE [DE2001]</t>
  </si>
  <si>
    <t>Source: GIE 2026 facility-level storage database (https://www.gie.eu/transparency/databases/storage-database/) GIE facility code: DE2001 NG working energy 4.74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</si>
  <si>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Etzel ESE [DE2907]</t>
  </si>
  <si>
    <t>Source: GIE 2026 facility-level storage database (https://www.gie.eu/transparency/databases/storage-database/) GIE facility code: DE2907 NG working energy 10.851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</si>
  <si>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Etzel_ESE</t>
  </si>
  <si>
    <t>Source: SciGRID IGGI upstream raw fields (original sources not individually verified) (https://doi.org/10.5281/zenodo.4288468) NG working volume 1,239.182 million standard m3: SciGRID NG max_workingGas_M_m3; standard-volume basis not independently verified. H2 reference GWh: NG standard working volume × 0.0852 kg/m3 × 33.33 kWh/kg; VOLUME-EQUIVALENT SCREENING ONLY, NOT a physically modelled H2 working capacity. Qualifications: All four upstream SciGRID field methods are raw; original measurement source still needs checking. | H2 screening equivalent=NG standard volume x 0.0852 kg/m3 x 33.33 kWh/kg; NOT site-validated H2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</si>
  <si>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Harsefeld</t>
  </si>
  <si>
    <t>Source: GIE 2026 facility-level storage database (https://www.gie.eu/transparency/databases/storage-database/) Additional source: SciGRID IGGI four raw fields (https://doi.org/10.5281/zenodo.4288468) GIE facility code: DE2403 NG working volume 119.072 million standard m3: GIE NG working-gas energy, technical TWh. NG working energy 1.23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t>
  </si>
  <si>
    <t>Hill Top Farm (Cheshire)</t>
  </si>
  <si>
    <t>Source: GIE 2026 facility-level storage database (https://www.gie.eu/transparency/databases/storage-database/) GIE facility code: GB0101 NG working energy 0.66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</si>
  <si>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Holford</t>
  </si>
  <si>
    <t>Source: GIE 2026 facility-level storage database (https://www.gie.eu/transparency/databases/storage-database/) Additional source: SciGRID IGGI four raw fields (https://doi.org/10.5281/zenodo.4288468) GIE facility code: GB0601 NG working energy 2.648 TWh: GIE technical working-gas energy, NOT H2. Qualifications: Capacity only; independent site geology/pressure source needed. Facility code distinguishes same-named units. | GIE capacity can be an entire multi-cavern FACILITY; not automatically a single-cavern working capacity | DATA QA REJECTION: NG GIE energy/NG reported volume implies 15.44 kWh/m3 (outside 8-14 indicative window); rejected conflicting NG-volume field, retained GIE working TWh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</si>
  <si>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Hornsea (Atwick)</t>
  </si>
  <si>
    <t>Source: GIE 2026 facility-level storage database (https://www.gie.eu/transparency/databases/storage-database/) GIE facility code: GB0402 NG working energy 2.86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</si>
  <si>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Jemgum</t>
  </si>
  <si>
    <t>Source: GIE 2026 facility-level storage database (https://www.gie.eu/transparency/databases/storage-database/) GIE facility code: DE0101 NG working energy 9.45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</si>
  <si>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Jemgum H</t>
  </si>
  <si>
    <t>Source: GIE 2026 facility-level storage database (https://www.gie.eu/transparency/databases/storage-database/) GIE facility code: DE1003 NG working energy 3.39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</si>
  <si>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Kiel-Rönne</t>
  </si>
  <si>
    <t>Source: GIE 2026 facility-level storage database (https://www.gie.eu/transparency/databases/storage-database/) GIE facility code: DE2301 NG working energy 0.52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</si>
  <si>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Kosakowo</t>
  </si>
  <si>
    <t>Source: GIE 2026 facility-level storage database (https://www.gie.eu/transparency/databases/storage-database/) Additional source: SciGRID IGGI four raw fields (https://doi.org/10.5281/zenodo.4288468) GIE facility code: PL0103 NG working energy 3.225 TWh: GIE technical working-gas energy, NOT H2. Qualifications: Capacity only; independent site geology/pressure source needed. Facility code distinguishes same-named units. | GIE capacity can be an entire multi-cavern FACILITY; not automatically a single-cavern working capacity | DATA QA REJECTION: NG GIE energy/NG reported volume implies 25.78 kWh/m3 (outside 8-14 indicative window); rejected conflicting NG-volume field, retained GIE working TWh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</si>
  <si>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Kraak</t>
  </si>
  <si>
    <t>Source: GIE 2026 facility-level storage database (https://www.gie.eu/transparency/databases/storage-database/) Additional source: SciGRID IGGI four raw fields (https://doi.org/10.5281/zenodo.4288468) GIE facility code: DE1401 NG working energy 2.27 TWh: GIE technical working-gas energy, NOT H2.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GIE capacity can be an entire multi-cavern FACILITY; not automatically a single-cavern working capacity | DATA QA REJECTION: NG GIE energy/NG reported volume implies 7.90 kWh/m3 (outside 8-14 indicative window); rejected conflicting NG-volume field, retained GIE working TWh Still missing: minimum reservoir pressure SciGRID alternative imputed fields (NOT adopted as site observations): minimum pressure=54.91 (Lasso estimate). https://doi.org/10.5281/zenodo.4288468 .</t>
  </si>
  <si>
    <t>Lille Torup</t>
  </si>
  <si>
    <t>Source: SciGRID IGGI upstream raw fields (original sources not individually verified) (https://doi.org/10.5281/zenodo.4288468) NG working volume 10.82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</si>
  <si>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Manosque</t>
  </si>
  <si>
    <t>Source: SciGRID IGGI upstream raw fields (original sources not individually verified) (https://doi.org/10.5281/zenodo.4288468) NG working volume 521.731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</si>
  <si>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Mogilno</t>
  </si>
  <si>
    <t>Source: GIE 2026 facility-level storage database (https://www.gie.eu/transparency/databases/storage-database/) Additional source: SciGRID IGGI four raw fields (https://doi.org/10.5281/zenodo.4288468) GIE facility code: PL0104 NG working volume 624.531 million standard m3: GIE NG working-gas energy, technical TWh. NG working energy 6.453 TWh: GIE technical working-gas energy, NOT H2. H2 reference GWh: NG standard working volume × 0.0852 kg/m3 × 33.33 kWh/kg; VOLUME-EQUIVALENT SCREENING ONLY, NOT a physically modelled H2 working capacity. Pressure basis: SciGRID upstream raw; unverified against original site publication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 Still missing: depth SciGRID alternative imputed fields (NOT adopted as site observations): depth=1237.28 (Lasso estimate). https://doi.org/10.5281/zenodo.4288468 .</t>
  </si>
  <si>
    <t>Moss Bluff</t>
  </si>
  <si>
    <t>Source: HyUnder D3.1 site description (https://hyunder.eu/wp-content/uploads/2016/01/D3.1_Overview-of-all-known-underground-storage-technologies.pdf) H2 reference GWh: HyUnder possible working-gas estimate; a publisher calculation, NOT a demonstrated working capacity. Depth basis: HyUnder site description Pressure basis: HyUnder NG site operating/design pressure description Qualifications: HyUnder calculated possible H2 working mass, not an independently observed/validated working capacity | Operating hydrogen salt cavern; source says depth greater than 822 m, not exactly 822 m | HyUnder depth is &gt;822 m; 822 m is only the lower bound</t>
  </si>
  <si>
    <t>Nüttermoor H-2</t>
  </si>
  <si>
    <t>Source: GIE 2026 facility-level storage database (https://www.gie.eu/transparency/databases/storage-database/) GIE facility code: DE1005 NG working energy 2.51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</si>
  <si>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Nüttermoor H-3</t>
  </si>
  <si>
    <t>Source: GIE 2026 facility-level storage database (https://www.gie.eu/transparency/databases/storage-database/) GIE facility code: DE1006 NG working energy 2.518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</si>
  <si>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Nüttermoor H-4</t>
  </si>
  <si>
    <t>Source: GIE 2026 facility-level storage database (https://www.gie.eu/transparency/databases/storage-database/) GIE facility code: DE0401 NG working energy 2.5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</si>
  <si>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Nüttermoor H-5</t>
  </si>
  <si>
    <t>Source: GIE 2026 facility-level storage database (https://www.gie.eu/transparency/databases/storage-database/) GIE facility code: DE1008 NG working energy 2.03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</si>
  <si>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Peckensen</t>
  </si>
  <si>
    <t>Source: GIE 2026 facility-level storage database (https://www.gie.eu/transparency/databases/storage-database/) Additional source: SciGRID IGGI four raw fields (https://doi.org/10.5281/zenodo.4288468) GIE facility code: DE2404 NG working volume 414.255 million standard m3: GIE NG working-gas energy, technical TWh. NG working energy 3.864 TWh: GIE technical working-gas energy, NOT H2. H2 reference GWh: NG standard working volume × 0.0852 kg/m3 × 33.33 kWh/kg; VOLUME-EQUIVALENT SCREENING ONLY, NOT a physically modelled H2 working capacity.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</si>
  <si>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Reckrod MET S</t>
  </si>
  <si>
    <t>Source: GIE 2026 facility-level storage database (https://www.gie.eu/transparency/databases/storage-database/) GIE facility code: DE1302 NG working energy 1.61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</si>
  <si>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Rüdersdorf H</t>
  </si>
  <si>
    <t>Source: GIE 2026 facility-level storage database (https://www.gie.eu/transparency/databases/storage-database/) GIE facility code: DE1009 NG working energy 0.999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</si>
  <si>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Stassfurt</t>
  </si>
  <si>
    <t>Source: GIE 2026 facility-level storage database (https://www.gie.eu/transparency/databases/storage-database/) Additional source: SciGRID IGGI four raw fields (https://doi.org/10.5281/zenodo.4288468) GIE facility code: DE1503 NG working volume 581.889 million standard m3: GIE NG working-gas energy, technical TWh. NG working energy 6.4 TWh: GIE technical working-gas energy, NOT H2.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Capacity only; independent site geology/pressure source needed. Facility code distinguishes same-named units. | GIE capacity can be an entire multi-cavern FACILITY; not automatically a single-cavern working capacity | H2 screening equivalent=NG standard volume x 0.0852 kg/m3 x 33.33 kWh/kg; NOT site-validated H2 working capacity</t>
  </si>
  <si>
    <t>Stublach</t>
  </si>
  <si>
    <t>Source: SciGRID IGGI upstream raw fields (original sources not individually verified) (https://doi.org/10.5281/zenodo.4288468) NG working volume 246.818 million standard m3: SciGRID NG max_workingGas_M_m3; standard-volume basis not independently verified. H2 reference GWh: NG standard working volume × 0.0852 kg/m3 × 33.33 kWh/kg; VOLUME-EQUIVALENT SCREENING ONLY, NOT a physically modelled H2 working capacity. Qualifications: All four upstream SciGRID field methods are raw; original measurement source still needs checking. | H2 screening equivalent=NG standard volume x 0.0852 kg/m3 x 33.33 kWh/kg; NOT site-validated H2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</si>
  <si>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Stublach [GB0501]</t>
  </si>
  <si>
    <t>Source: GIE 2026 facility-level storage database (https://www.gie.eu/transparency/databases/storage-database/) GIE facility code: GB0501 NG working energy 4.4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</si>
  <si>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Stublach [GB0502]</t>
  </si>
  <si>
    <t>Source: GIE 2026 facility-level storage database (https://www.gie.eu/transparency/databases/storage-database/) GIE facility code: GB0502 NG working energy 1.99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 SciGRID alternative imputed fields (NOT adopted as site observations): depth=1108.12 (Lasso estimate), minimum pressure=57.47 (Median estimate), maximum pressure=138.16 (Lasso estimate). https://doi.org/10.5281/zenodo.4288468 .</t>
  </si>
  <si>
    <t>Teesside</t>
  </si>
  <si>
    <t>Source: HyUnder D3.1 site description (https://hyunder.eu/wp-content/uploads/2016/01/D3.1_Overview-of-all-known-underground-storage-technologies.pdf) H2 reference GWh: HyUnder possible working-gas estimate; a publisher calculation, NOT a demonstrated working capacity. Depth basis: HyUnder site description Qualifications: HyUnder calculated possible H2 working mass, not an independently observed/validated working capacity | Operating H2 salt caverns; source only gives approximately 45 bar, NOT min-max pressure | Single approximate operating pressure ~45 bar cannot define pmin/pmax interval Still missing: minimum reservoir pressure, maximum reservoir pressure</t>
  </si>
  <si>
    <t>Tuz Gölü / Aksaray Sultanhanı</t>
  </si>
  <si>
    <t>Source: GIE 2026 facility-level storage database (https://www.gie.eu/transparency/databases/storage-database/) GIE facility code: TR0101 NG working energy 19.55 TWh: GIE technical working-gas energy, NOT H2. Qualifications: Capacity only; independent site geology/pressure source needed. Facility code distinguishes same-named units. | GIE capacity can be an entire multi-cavern FACILITY; not automatically a single-cavern working capacity Still missing: depth, minimum reservoir pressure, maximum reservoir pressure</t>
  </si>
  <si>
    <t>Xanten</t>
  </si>
  <si>
    <t>Source: SciGRID IGGI upstream raw fields (original sources not individually verified) (https://doi.org/10.5281/zenodo.4288468) NG working volume 189.262 million standard m3: SciGRID NG max_workingGas_M_m3; standard-volume basis not independently verified. H2 reference GWh: NG standard working volume × 0.0852 kg/m3 × 33.33 kWh/kg; VOLUME-EQUIVALENT SCREENING ONLY, NOT a physically modelled H2 working capacity. Depth basis: SciGRID upstream raw; unverified against original site publication Pressure basis: SciGRID upstream raw; unverified against original site publication Qualifications: All four upstream SciGRID field methods are raw; original measurement source still needs checking. | H2 screening equivalent=NG standard volume x 0.0852 kg/m3 x 33.33 kWh/kg; NOT site-validated H2 working capacity</t>
  </si>
  <si>
    <t>UHS reference-site evidence — compact review</t>
  </si>
  <si>
    <t>Purpose</t>
  </si>
  <si>
    <t>A working catalogue of site characteristics to inform techno-economic UHS default selection.</t>
  </si>
  <si>
    <t>Total candidate rows</t>
  </si>
  <si>
    <t>Storage classes</t>
  </si>
  <si>
    <t>Depleted gas fields; saline aquifers; salt caverns; lined rock caverns.</t>
  </si>
  <si>
    <t>Column convention</t>
  </si>
  <si>
    <t>Blank means not established; proposed engineering designs are distinguished from constructed storage sites in their notes.</t>
  </si>
  <si>
    <t>Source-specific H2 cycling/modelled values, publisher H2 estimates, or NG-volume-equivalent screening estimates. See EACH row’s notes for basis.</t>
  </si>
  <si>
    <t>Reported natural-gas working standard volume, most often from SciGRID or HyUnder; this is not H2 capacity.</t>
  </si>
  <si>
    <t>GIE technical natural-gas working-gas ENERGY, not directly equivalent to H2 TWh.</t>
  </si>
  <si>
    <t>Pressure convention</t>
  </si>
  <si>
    <t>Values describe the site/source regime; static, operational and model-adjusted bounds are distinguished in notes.</t>
  </si>
  <si>
    <t>Reinstated 45-bar preconversion and 50-bar minimum as an EXPLICIT modelling adjustment. Reported depleted pressure was 50 bar.</t>
  </si>
  <si>
    <t>Reinstated demonstrated H2 cycle; unspecified reservoir P_min and actual abandonment pressure deliberately blank.</t>
  </si>
  <si>
    <t>Virtual storage groups</t>
  </si>
  <si>
    <t>Aggregate virtual group or commercial share excluded where physical constituents are separately represented.</t>
  </si>
  <si>
    <t>Source guidance</t>
  </si>
  <si>
    <t>Site-level sources</t>
  </si>
  <si>
    <t>Peer-reviewed field studies and site papers, quoted in the notes alongside each datum.</t>
  </si>
  <si>
    <t>SciGRID</t>
  </si>
  <si>
    <t>Input field-level provenance is provided in notes. Imputed alternative values are shown as estimates but not substituted for site observations.</t>
  </si>
  <si>
    <t>GIE 2026</t>
  </si>
  <si>
    <t>Technical NG volumes and facility codes; site totals may cover multiple caverns.</t>
  </si>
  <si>
    <t>Do not equate</t>
  </si>
  <si>
    <t>Natural gas working-energy capacity, H2 volume-equivalent potential, and observed hydrogen working capacity.</t>
  </si>
  <si>
    <t>Min. Op.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</si>
</sst>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0"/>
      <color rgb="FFFFFFFF"/>
      <name val="Aptos"/>
    </font>
    <font>
      <sz val="10"/>
      <color rgb="FF203040"/>
      <name val="Aptos"/>
    </font>
    <font>
      <b/>
      <sz val="16"/>
      <color rgb="FFFFFFFF"/>
      <name val="Aptos Display"/>
    </font>
    <font>
      <b/>
      <sz val="11"/>
      <color rgb="FF17324D"/>
      <name val="Aptos"/>
    </font>
    <font>
      <sz val="11"/>
      <color rgb="FF203040"/>
      <name val="Aptos"/>
    </font>
    <font>
      <b/>
      <sz val="11"/>
      <color rgb="FFFFFFFF"/>
      <name val="Aptos"/>
    </font>
    <font>
      <b/>
      <sz val="11"/>
      <color rgb="FF17324D"/>
      <name val="Carlito"/>
    </font>
  </fonts>
  <fills count="5">
    <fill>
      <patternFill patternType="none"/>
    </fill>
    <fill>
      <patternFill patternType="gray125"/>
    </fill>
    <fill>
      <patternFill patternType="solid">
        <fgColor rgb="FF17324D"/>
      </patternFill>
    </fill>
    <fill>
      <patternFill patternType="solid">
        <fgColor rgb="FFE4EFF3"/>
      </patternFill>
    </fill>
    <fill>
      <patternFill patternType="solid">
        <fgColor rgb="FF087E8B"/>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wrapText="1"/>
    </xf>
    <xf numFmtId="0" fontId="2" fillId="0" borderId="0" xfId="0" applyFont="1"/>
    <xf numFmtId="0" fontId="2" fillId="0" borderId="0" xfId="0" applyFont="1" applyAlignment="1">
      <alignment wrapText="1"/>
    </xf>
    <xf numFmtId="4" fontId="2" fillId="0" borderId="0" xfId="0" applyNumberFormat="1" applyFont="1"/>
    <xf numFmtId="3" fontId="2" fillId="0" borderId="0" xfId="0" applyNumberFormat="1" applyFont="1"/>
    <xf numFmtId="0" fontId="3" fillId="2" borderId="0" xfId="0" applyFont="1" applyFill="1"/>
    <xf numFmtId="0" fontId="4" fillId="3" borderId="0" xfId="0" applyFont="1" applyFill="1"/>
    <xf numFmtId="0" fontId="5" fillId="0" borderId="0" xfId="0" applyFont="1" applyAlignment="1">
      <alignment wrapText="1"/>
    </xf>
    <xf numFmtId="0" fontId="6" fillId="4" borderId="0" xfId="0" applyFont="1" applyFill="1"/>
    <xf numFmtId="0" fontId="7" fillId="0" borderId="0" xfId="0" applyFont="1"/>
    <xf numFmtId="0" fontId="0" fillId="0" borderId="0" xfId="0" applyAlignment="1">
      <alignment wrapText="1"/>
    </xf>
  </cellXfs>
  <cellStyles count="1">
    <cellStyle name="Normal" xfId="0" builtinId="0"/>
  </cellStyles>
  <dxfs count="1">
    <dxf>
      <font>
        <b val="0"/>
        <i val="0"/>
        <strike val="0"/>
        <condense val="0"/>
        <extend val="0"/>
        <outline val="0"/>
        <shadow val="0"/>
        <u val="none"/>
        <vertAlign val="baseline"/>
        <sz val="10"/>
        <color rgb="FF203040"/>
        <name val="Aptos"/>
        <scheme val="none"/>
      </font>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hsSimplifiedCandidates" displayName="UhsSimplifiedCandidates" ref="A1:N153" totalsRowShown="0">
  <autoFilter ref="A1:N153" xr:uid="{00000000-000C-0000-FFFF-FFFF00000000}"/>
  <tableColumns count="14">
    <tableColumn id="1" xr3:uid="{00000000-0010-0000-0000-000001000000}" name="Storage class"/>
    <tableColumn id="2" xr3:uid="{00000000-0010-0000-0000-000002000000}" name="Site"/>
    <tableColumn id="3" xr3:uid="{00000000-0010-0000-0000-000003000000}" name="Country"/>
    <tableColumn id="4" xr3:uid="{00000000-0010-0000-0000-000004000000}" name="H2 reference working GWh"/>
    <tableColumn id="5" xr3:uid="{00000000-0010-0000-0000-000005000000}" name="NG working million Sm3"/>
    <tableColumn id="6" xr3:uid="{00000000-0010-0000-0000-000006000000}" name="NG working TWh"/>
    <tableColumn id="7" xr3:uid="{00000000-0010-0000-0000-000007000000}" name="Cavern volume minimum m3"/>
    <tableColumn id="8" xr3:uid="{00000000-0010-0000-0000-000008000000}" name="Cavern volume maximum m3"/>
    <tableColumn id="9" xr3:uid="{00000000-0010-0000-0000-000009000000}" name="Reference depth m"/>
    <tableColumn id="10" xr3:uid="{00000000-0010-0000-0000-00000A000000}" name="Abandonment pressure bar"/>
    <tableColumn id="11" xr3:uid="{00000000-0010-0000-0000-00000B000000}" name="Minimum pressure bar"/>
    <tableColumn id="14" xr3:uid="{A91480EC-B32F-49D4-BF0D-AAF281F907B1}" name="Min. Op. Pressure" dataDxfId="0">
      <calculatedColumnFormula>IF(UhsSimplifiedCandidates[[#This Row],[Minimum pressure bar]]&lt;1,IF(UhsSimplifiedCandidates[[#This Row],[Maximum pressure bar]]&gt;55,MAX(UhsSimplifiedCandidates[[#This Row],[Minimum pressure bar]],55),""),UhsSimplifiedCandidates[[#This Row],[Minimum pressure bar]])</calculatedColumnFormula>
    </tableColumn>
    <tableColumn id="12" xr3:uid="{00000000-0010-0000-0000-00000C000000}" name="Maximum pressure bar"/>
    <tableColumn id="13" xr3:uid="{00000000-0010-0000-0000-00000D000000}" name="Notes and sourc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3"/>
  <sheetViews>
    <sheetView showGridLines="0" tabSelected="1" workbookViewId="0">
      <pane xSplit="3" ySplit="1" topLeftCell="D149" activePane="bottomRight" state="frozen"/>
      <selection pane="topRight"/>
      <selection pane="bottomLeft"/>
      <selection pane="bottomRight"/>
    </sheetView>
  </sheetViews>
  <sheetFormatPr defaultRowHeight="13.8"/>
  <cols>
    <col min="1" max="1" width="16" customWidth="1"/>
    <col min="2" max="2" width="32" customWidth="1"/>
    <col min="3" max="3" width="20" customWidth="1"/>
    <col min="4" max="13" width="21" customWidth="1"/>
    <col min="14" max="14" width="116" customWidth="1"/>
  </cols>
  <sheetData>
    <row r="1" spans="1:14" ht="43.95" customHeight="1">
      <c r="A1" s="1" t="s">
        <v>0</v>
      </c>
      <c r="B1" s="1" t="s">
        <v>1</v>
      </c>
      <c r="C1" s="1" t="s">
        <v>2</v>
      </c>
      <c r="D1" s="1" t="s">
        <v>3</v>
      </c>
      <c r="E1" s="1" t="s">
        <v>4</v>
      </c>
      <c r="F1" s="1" t="s">
        <v>5</v>
      </c>
      <c r="G1" s="1" t="s">
        <v>6</v>
      </c>
      <c r="H1" s="1" t="s">
        <v>7</v>
      </c>
      <c r="I1" s="1" t="s">
        <v>8</v>
      </c>
      <c r="J1" s="1" t="s">
        <v>9</v>
      </c>
      <c r="K1" s="1" t="s">
        <v>10</v>
      </c>
      <c r="L1" s="1" t="s">
        <v>374</v>
      </c>
      <c r="M1" s="1" t="s">
        <v>11</v>
      </c>
      <c r="N1" s="1" t="s">
        <v>12</v>
      </c>
    </row>
    <row r="2" spans="1:14" ht="58.05" customHeight="1">
      <c r="A2" s="2" t="s">
        <v>13</v>
      </c>
      <c r="B2" s="3" t="s">
        <v>14</v>
      </c>
      <c r="C2" s="2" t="s">
        <v>15</v>
      </c>
      <c r="D2" s="4">
        <v>393.55</v>
      </c>
      <c r="E2" s="4">
        <v>138.58772508000001</v>
      </c>
      <c r="F2" s="4">
        <v>1.5</v>
      </c>
      <c r="G2" s="5"/>
      <c r="H2" s="5"/>
      <c r="I2" s="4"/>
      <c r="J2" s="4"/>
      <c r="K2" s="4"/>
      <c r="L2" s="4" t="str">
        <f>IF(UhsSimplifiedCandidates[[#This Row],[Minimum pressure bar]]&lt;1,IF(UhsSimplifiedCandidates[[#This Row],[Maximum pressure bar]]&gt;55,MAX(UhsSimplifiedCandidates[[#This Row],[Minimum pressure bar]],55),""),UhsSimplifiedCandidates[[#This Row],[Minimum pressure bar]])</f>
        <v/>
      </c>
      <c r="M2" s="4"/>
      <c r="N2" s="3" t="s">
        <v>16</v>
      </c>
    </row>
    <row r="3" spans="1:14" ht="58.05" customHeight="1">
      <c r="A3" s="2" t="s">
        <v>13</v>
      </c>
      <c r="B3" s="3" t="s">
        <v>17</v>
      </c>
      <c r="C3" s="2" t="s">
        <v>18</v>
      </c>
      <c r="D3" s="4">
        <v>1325.5930000000001</v>
      </c>
      <c r="E3" s="4">
        <v>466.80494011000002</v>
      </c>
      <c r="F3" s="4">
        <v>4.8899999999999997</v>
      </c>
      <c r="G3" s="5"/>
      <c r="H3" s="5"/>
      <c r="I3" s="4">
        <v>3000</v>
      </c>
      <c r="J3" s="4"/>
      <c r="K3" s="4"/>
      <c r="L3" s="4" t="str">
        <f>IF(UhsSimplifiedCandidates[[#This Row],[Minimum pressure bar]]&lt;1,IF(UhsSimplifiedCandidates[[#This Row],[Maximum pressure bar]]&gt;55,MAX(UhsSimplifiedCandidates[[#This Row],[Minimum pressure bar]],55),""),UhsSimplifiedCandidates[[#This Row],[Minimum pressure bar]])</f>
        <v/>
      </c>
      <c r="M3" s="4"/>
      <c r="N3" s="3" t="s">
        <v>19</v>
      </c>
    </row>
    <row r="4" spans="1:14" ht="58.05" customHeight="1">
      <c r="A4" s="2" t="s">
        <v>13</v>
      </c>
      <c r="B4" s="3" t="s">
        <v>20</v>
      </c>
      <c r="C4" s="2" t="s">
        <v>21</v>
      </c>
      <c r="D4" s="4"/>
      <c r="E4" s="4"/>
      <c r="F4" s="4">
        <v>0.94299999999999995</v>
      </c>
      <c r="G4" s="5"/>
      <c r="H4" s="5"/>
      <c r="I4" s="4">
        <v>340</v>
      </c>
      <c r="J4" s="4"/>
      <c r="K4" s="4"/>
      <c r="L4" s="4" t="str">
        <f>IF(UhsSimplifiedCandidates[[#This Row],[Minimum pressure bar]]&lt;1,IF(UhsSimplifiedCandidates[[#This Row],[Maximum pressure bar]]&gt;55,MAX(UhsSimplifiedCandidates[[#This Row],[Minimum pressure bar]],55),""),UhsSimplifiedCandidates[[#This Row],[Minimum pressure bar]])</f>
        <v/>
      </c>
      <c r="M4" s="4">
        <v>36</v>
      </c>
      <c r="N4" s="3" t="s">
        <v>22</v>
      </c>
    </row>
    <row r="5" spans="1:14" ht="58.05" customHeight="1">
      <c r="A5" s="2" t="s">
        <v>13</v>
      </c>
      <c r="B5" s="3" t="s">
        <v>23</v>
      </c>
      <c r="C5" s="2" t="s">
        <v>24</v>
      </c>
      <c r="D5" s="4"/>
      <c r="E5" s="4"/>
      <c r="F5" s="4">
        <v>0.53</v>
      </c>
      <c r="G5" s="5"/>
      <c r="H5" s="5"/>
      <c r="I5" s="4"/>
      <c r="J5" s="4"/>
      <c r="K5" s="4"/>
      <c r="L5" s="4" t="str">
        <f>IF(UhsSimplifiedCandidates[[#This Row],[Minimum pressure bar]]&lt;1,IF(UhsSimplifiedCandidates[[#This Row],[Maximum pressure bar]]&gt;55,MAX(UhsSimplifiedCandidates[[#This Row],[Minimum pressure bar]],55),""),UhsSimplifiedCandidates[[#This Row],[Minimum pressure bar]])</f>
        <v/>
      </c>
      <c r="M5" s="4"/>
      <c r="N5" s="3" t="s">
        <v>25</v>
      </c>
    </row>
    <row r="6" spans="1:14" ht="58.05" customHeight="1">
      <c r="A6" s="2" t="s">
        <v>13</v>
      </c>
      <c r="B6" s="3" t="s">
        <v>26</v>
      </c>
      <c r="C6" s="2" t="s">
        <v>27</v>
      </c>
      <c r="D6" s="4">
        <v>1325.2190000000001</v>
      </c>
      <c r="E6" s="4">
        <v>466.67295180000002</v>
      </c>
      <c r="F6" s="4">
        <v>4.5315000000000003</v>
      </c>
      <c r="G6" s="5"/>
      <c r="H6" s="5"/>
      <c r="I6" s="4"/>
      <c r="J6" s="4"/>
      <c r="K6" s="4"/>
      <c r="L6" s="4" t="str">
        <f>IF(UhsSimplifiedCandidates[[#This Row],[Minimum pressure bar]]&lt;1,IF(UhsSimplifiedCandidates[[#This Row],[Maximum pressure bar]]&gt;55,MAX(UhsSimplifiedCandidates[[#This Row],[Minimum pressure bar]],55),""),UhsSimplifiedCandidates[[#This Row],[Minimum pressure bar]])</f>
        <v/>
      </c>
      <c r="M6" s="4"/>
      <c r="N6" s="3" t="s">
        <v>28</v>
      </c>
    </row>
    <row r="7" spans="1:14" ht="58.05" customHeight="1">
      <c r="A7" s="2" t="s">
        <v>13</v>
      </c>
      <c r="B7" s="3" t="s">
        <v>29</v>
      </c>
      <c r="C7" s="2" t="s">
        <v>18</v>
      </c>
      <c r="D7" s="4">
        <v>12208.075000000001</v>
      </c>
      <c r="E7" s="4">
        <v>4299.0477983999999</v>
      </c>
      <c r="F7" s="4">
        <v>49.65</v>
      </c>
      <c r="G7" s="5"/>
      <c r="H7" s="5"/>
      <c r="I7" s="4">
        <v>2100</v>
      </c>
      <c r="J7" s="4">
        <v>15</v>
      </c>
      <c r="K7" s="4">
        <v>77</v>
      </c>
      <c r="L7" s="4">
        <f>IF(UhsSimplifiedCandidates[[#This Row],[Minimum pressure bar]]&lt;1,IF(UhsSimplifiedCandidates[[#This Row],[Maximum pressure bar]]&gt;55,MAX(UhsSimplifiedCandidates[[#This Row],[Minimum pressure bar]],55),""),UhsSimplifiedCandidates[[#This Row],[Minimum pressure bar]])</f>
        <v>77</v>
      </c>
      <c r="M7" s="4">
        <v>150</v>
      </c>
      <c r="N7" s="3" t="s">
        <v>30</v>
      </c>
    </row>
    <row r="8" spans="1:14" ht="58.05" customHeight="1">
      <c r="A8" s="2" t="s">
        <v>13</v>
      </c>
      <c r="B8" s="3" t="s">
        <v>31</v>
      </c>
      <c r="C8" s="2" t="s">
        <v>21</v>
      </c>
      <c r="D8" s="4">
        <v>2698.627</v>
      </c>
      <c r="E8" s="4">
        <v>950.31582911999999</v>
      </c>
      <c r="F8" s="4">
        <v>9.4489999999999998</v>
      </c>
      <c r="G8" s="5"/>
      <c r="H8" s="5"/>
      <c r="I8" s="4">
        <v>1500</v>
      </c>
      <c r="J8" s="4"/>
      <c r="K8" s="4">
        <v>52</v>
      </c>
      <c r="L8" s="4">
        <f>IF(UhsSimplifiedCandidates[[#This Row],[Minimum pressure bar]]&lt;1,IF(UhsSimplifiedCandidates[[#This Row],[Maximum pressure bar]]&gt;55,MAX(UhsSimplifiedCandidates[[#This Row],[Minimum pressure bar]],55),""),UhsSimplifiedCandidates[[#This Row],[Minimum pressure bar]])</f>
        <v>52</v>
      </c>
      <c r="M8" s="4">
        <v>161</v>
      </c>
      <c r="N8" s="3" t="s">
        <v>32</v>
      </c>
    </row>
    <row r="9" spans="1:14" ht="58.05" customHeight="1">
      <c r="A9" s="2" t="s">
        <v>13</v>
      </c>
      <c r="B9" s="3" t="s">
        <v>33</v>
      </c>
      <c r="C9" s="2" t="s">
        <v>24</v>
      </c>
      <c r="D9" s="4">
        <v>3756.848</v>
      </c>
      <c r="E9" s="4">
        <v>1322.9659658</v>
      </c>
      <c r="F9" s="4">
        <v>14.016999999999999</v>
      </c>
      <c r="G9" s="5"/>
      <c r="H9" s="5"/>
      <c r="I9" s="4">
        <v>2030</v>
      </c>
      <c r="J9" s="4"/>
      <c r="K9" s="4">
        <v>38</v>
      </c>
      <c r="L9" s="4">
        <f>IF(UhsSimplifiedCandidates[[#This Row],[Minimum pressure bar]]&lt;1,IF(UhsSimplifiedCandidates[[#This Row],[Maximum pressure bar]]&gt;55,MAX(UhsSimplifiedCandidates[[#This Row],[Minimum pressure bar]],55),""),UhsSimplifiedCandidates[[#This Row],[Minimum pressure bar]])</f>
        <v>38</v>
      </c>
      <c r="M9" s="4">
        <v>92</v>
      </c>
      <c r="N9" s="3" t="s">
        <v>34</v>
      </c>
    </row>
    <row r="10" spans="1:14" ht="58.05" customHeight="1">
      <c r="A10" s="2" t="s">
        <v>13</v>
      </c>
      <c r="B10" s="3" t="s">
        <v>35</v>
      </c>
      <c r="C10" s="2" t="s">
        <v>21</v>
      </c>
      <c r="D10" s="4">
        <v>2974.38</v>
      </c>
      <c r="E10" s="4">
        <v>1047.4215140399999</v>
      </c>
      <c r="F10" s="4">
        <v>11.4184</v>
      </c>
      <c r="G10" s="5"/>
      <c r="H10" s="5"/>
      <c r="I10" s="4">
        <v>640</v>
      </c>
      <c r="J10" s="4"/>
      <c r="K10" s="4">
        <v>30</v>
      </c>
      <c r="L10" s="4">
        <f>IF(UhsSimplifiedCandidates[[#This Row],[Minimum pressure bar]]&lt;1,IF(UhsSimplifiedCandidates[[#This Row],[Maximum pressure bar]]&gt;55,MAX(UhsSimplifiedCandidates[[#This Row],[Minimum pressure bar]],55),""),UhsSimplifiedCandidates[[#This Row],[Minimum pressure bar]])</f>
        <v>30</v>
      </c>
      <c r="M10" s="4">
        <v>80</v>
      </c>
      <c r="N10" s="3" t="s">
        <v>36</v>
      </c>
    </row>
    <row r="11" spans="1:14" ht="58.05" customHeight="1">
      <c r="A11" s="2" t="s">
        <v>13</v>
      </c>
      <c r="B11" s="3" t="s">
        <v>37</v>
      </c>
      <c r="C11" s="2" t="s">
        <v>38</v>
      </c>
      <c r="D11" s="4">
        <v>1970.7629999999999</v>
      </c>
      <c r="E11" s="4">
        <v>694</v>
      </c>
      <c r="F11" s="4"/>
      <c r="G11" s="5"/>
      <c r="H11" s="5"/>
      <c r="I11" s="4">
        <v>820</v>
      </c>
      <c r="J11" s="4"/>
      <c r="K11" s="4">
        <v>87</v>
      </c>
      <c r="L11" s="4">
        <f>IF(UhsSimplifiedCandidates[[#This Row],[Minimum pressure bar]]&lt;1,IF(UhsSimplifiedCandidates[[#This Row],[Maximum pressure bar]]&gt;55,MAX(UhsSimplifiedCandidates[[#This Row],[Minimum pressure bar]],55),""),UhsSimplifiedCandidates[[#This Row],[Minimum pressure bar]])</f>
        <v>87</v>
      </c>
      <c r="M11" s="4">
        <v>115.5</v>
      </c>
      <c r="N11" s="3" t="s">
        <v>39</v>
      </c>
    </row>
    <row r="12" spans="1:14" ht="58.05" customHeight="1">
      <c r="A12" s="2" t="s">
        <v>13</v>
      </c>
      <c r="B12" s="3" t="s">
        <v>40</v>
      </c>
      <c r="C12" s="2" t="s">
        <v>41</v>
      </c>
      <c r="D12" s="4"/>
      <c r="E12" s="4"/>
      <c r="F12" s="4">
        <v>1.1259999999999999</v>
      </c>
      <c r="G12" s="5"/>
      <c r="H12" s="5"/>
      <c r="I12" s="4">
        <v>401</v>
      </c>
      <c r="J12" s="4"/>
      <c r="K12" s="4">
        <v>21</v>
      </c>
      <c r="L12" s="4">
        <f>IF(UhsSimplifiedCandidates[[#This Row],[Minimum pressure bar]]&lt;1,IF(UhsSimplifiedCandidates[[#This Row],[Maximum pressure bar]]&gt;55,MAX(UhsSimplifiedCandidates[[#This Row],[Minimum pressure bar]],55),""),UhsSimplifiedCandidates[[#This Row],[Minimum pressure bar]])</f>
        <v>21</v>
      </c>
      <c r="M12" s="4">
        <v>48</v>
      </c>
      <c r="N12" s="3" t="s">
        <v>42</v>
      </c>
    </row>
    <row r="13" spans="1:14" ht="58.05" customHeight="1">
      <c r="A13" s="2" t="s">
        <v>13</v>
      </c>
      <c r="B13" s="3" t="s">
        <v>43</v>
      </c>
      <c r="C13" s="2" t="s">
        <v>44</v>
      </c>
      <c r="D13" s="4"/>
      <c r="E13" s="4"/>
      <c r="F13" s="4">
        <v>7.02</v>
      </c>
      <c r="G13" s="5"/>
      <c r="H13" s="5"/>
      <c r="I13" s="4"/>
      <c r="J13" s="4"/>
      <c r="K13" s="4"/>
      <c r="L13" s="4" t="str">
        <f>IF(UhsSimplifiedCandidates[[#This Row],[Minimum pressure bar]]&lt;1,IF(UhsSimplifiedCandidates[[#This Row],[Maximum pressure bar]]&gt;55,MAX(UhsSimplifiedCandidates[[#This Row],[Minimum pressure bar]],55),""),UhsSimplifiedCandidates[[#This Row],[Minimum pressure bar]])</f>
        <v/>
      </c>
      <c r="M13" s="4"/>
      <c r="N13" s="3" t="s">
        <v>45</v>
      </c>
    </row>
    <row r="14" spans="1:14" ht="58.05" customHeight="1">
      <c r="A14" s="2" t="s">
        <v>13</v>
      </c>
      <c r="B14" s="3" t="s">
        <v>46</v>
      </c>
      <c r="C14" s="2" t="s">
        <v>47</v>
      </c>
      <c r="D14" s="4"/>
      <c r="E14" s="4"/>
      <c r="F14" s="4">
        <v>27.7</v>
      </c>
      <c r="G14" s="5"/>
      <c r="H14" s="5"/>
      <c r="I14" s="4"/>
      <c r="J14" s="4"/>
      <c r="K14" s="4"/>
      <c r="L14" s="4" t="str">
        <f>IF(UhsSimplifiedCandidates[[#This Row],[Minimum pressure bar]]&lt;1,IF(UhsSimplifiedCandidates[[#This Row],[Maximum pressure bar]]&gt;55,MAX(UhsSimplifiedCandidates[[#This Row],[Minimum pressure bar]],55),""),UhsSimplifiedCandidates[[#This Row],[Minimum pressure bar]])</f>
        <v/>
      </c>
      <c r="M14" s="4"/>
      <c r="N14" s="3" t="s">
        <v>48</v>
      </c>
    </row>
    <row r="15" spans="1:14" ht="58.05" customHeight="1">
      <c r="A15" s="2" t="s">
        <v>13</v>
      </c>
      <c r="B15" s="3" t="s">
        <v>49</v>
      </c>
      <c r="C15" s="2" t="s">
        <v>38</v>
      </c>
      <c r="D15" s="4"/>
      <c r="E15" s="4"/>
      <c r="F15" s="4">
        <v>3.85</v>
      </c>
      <c r="G15" s="5"/>
      <c r="H15" s="5"/>
      <c r="I15" s="4">
        <v>1330</v>
      </c>
      <c r="J15" s="4">
        <v>45</v>
      </c>
      <c r="K15" s="4">
        <v>50</v>
      </c>
      <c r="L15" s="4">
        <f>IF(UhsSimplifiedCandidates[[#This Row],[Minimum pressure bar]]&lt;1,IF(UhsSimplifiedCandidates[[#This Row],[Maximum pressure bar]]&gt;55,MAX(UhsSimplifiedCandidates[[#This Row],[Minimum pressure bar]],55),""),UhsSimplifiedCandidates[[#This Row],[Minimum pressure bar]])</f>
        <v>50</v>
      </c>
      <c r="M15" s="4">
        <v>161</v>
      </c>
      <c r="N15" s="3" t="s">
        <v>50</v>
      </c>
    </row>
    <row r="16" spans="1:14" ht="58.05" customHeight="1">
      <c r="A16" s="2" t="s">
        <v>13</v>
      </c>
      <c r="B16" s="3" t="s">
        <v>51</v>
      </c>
      <c r="C16" s="2" t="s">
        <v>38</v>
      </c>
      <c r="D16" s="4">
        <v>517.71500000000003</v>
      </c>
      <c r="E16" s="4">
        <v>182.3124</v>
      </c>
      <c r="F16" s="4"/>
      <c r="G16" s="5"/>
      <c r="H16" s="5"/>
      <c r="I16" s="4">
        <v>1400</v>
      </c>
      <c r="J16" s="4"/>
      <c r="K16" s="4">
        <v>84</v>
      </c>
      <c r="L16" s="4">
        <f>IF(UhsSimplifiedCandidates[[#This Row],[Minimum pressure bar]]&lt;1,IF(UhsSimplifiedCandidates[[#This Row],[Maximum pressure bar]]&gt;55,MAX(UhsSimplifiedCandidates[[#This Row],[Minimum pressure bar]],55),""),UhsSimplifiedCandidates[[#This Row],[Minimum pressure bar]])</f>
        <v>84</v>
      </c>
      <c r="M16" s="4">
        <v>175.4</v>
      </c>
      <c r="N16" s="3" t="s">
        <v>52</v>
      </c>
    </row>
    <row r="17" spans="1:14" ht="58.05" customHeight="1">
      <c r="A17" s="2" t="s">
        <v>13</v>
      </c>
      <c r="B17" s="3" t="s">
        <v>53</v>
      </c>
      <c r="C17" s="2" t="s">
        <v>54</v>
      </c>
      <c r="D17" s="4"/>
      <c r="E17" s="4"/>
      <c r="F17" s="4">
        <v>5.0549999999999997</v>
      </c>
      <c r="G17" s="5"/>
      <c r="H17" s="5"/>
      <c r="I17" s="4"/>
      <c r="J17" s="4"/>
      <c r="K17" s="4"/>
      <c r="L17" s="4" t="str">
        <f>IF(UhsSimplifiedCandidates[[#This Row],[Minimum pressure bar]]&lt;1,IF(UhsSimplifiedCandidates[[#This Row],[Maximum pressure bar]]&gt;55,MAX(UhsSimplifiedCandidates[[#This Row],[Minimum pressure bar]],55),""),UhsSimplifiedCandidates[[#This Row],[Minimum pressure bar]])</f>
        <v/>
      </c>
      <c r="M17" s="4"/>
      <c r="N17" s="3" t="s">
        <v>55</v>
      </c>
    </row>
    <row r="18" spans="1:14" ht="58.05" customHeight="1">
      <c r="A18" s="2" t="s">
        <v>13</v>
      </c>
      <c r="B18" s="3" t="s">
        <v>56</v>
      </c>
      <c r="C18" s="2" t="s">
        <v>54</v>
      </c>
      <c r="D18" s="4"/>
      <c r="E18" s="4"/>
      <c r="F18" s="4">
        <v>6.9439000000000002</v>
      </c>
      <c r="G18" s="5"/>
      <c r="H18" s="5"/>
      <c r="I18" s="4">
        <v>1260</v>
      </c>
      <c r="J18" s="4"/>
      <c r="K18" s="4">
        <v>75</v>
      </c>
      <c r="L18" s="4">
        <f>IF(UhsSimplifiedCandidates[[#This Row],[Minimum pressure bar]]&lt;1,IF(UhsSimplifiedCandidates[[#This Row],[Maximum pressure bar]]&gt;55,MAX(UhsSimplifiedCandidates[[#This Row],[Minimum pressure bar]],55),""),UhsSimplifiedCandidates[[#This Row],[Minimum pressure bar]])</f>
        <v>75</v>
      </c>
      <c r="M18" s="4">
        <v>125</v>
      </c>
      <c r="N18" s="3" t="s">
        <v>57</v>
      </c>
    </row>
    <row r="19" spans="1:14" ht="58.05" customHeight="1">
      <c r="A19" s="2" t="s">
        <v>13</v>
      </c>
      <c r="B19" s="3" t="s">
        <v>58</v>
      </c>
      <c r="C19" s="2" t="s">
        <v>38</v>
      </c>
      <c r="D19" s="4">
        <v>10021.358</v>
      </c>
      <c r="E19" s="4">
        <v>3529</v>
      </c>
      <c r="F19" s="4"/>
      <c r="G19" s="5"/>
      <c r="H19" s="5"/>
      <c r="I19" s="4">
        <v>950</v>
      </c>
      <c r="J19" s="4"/>
      <c r="K19" s="4">
        <v>67.099999999999994</v>
      </c>
      <c r="L19" s="4">
        <f>IF(UhsSimplifiedCandidates[[#This Row],[Minimum pressure bar]]&lt;1,IF(UhsSimplifiedCandidates[[#This Row],[Maximum pressure bar]]&gt;55,MAX(UhsSimplifiedCandidates[[#This Row],[Minimum pressure bar]],55),""),UhsSimplifiedCandidates[[#This Row],[Minimum pressure bar]])</f>
        <v>67.099999999999994</v>
      </c>
      <c r="M19" s="4">
        <v>130.6</v>
      </c>
      <c r="N19" s="3" t="s">
        <v>59</v>
      </c>
    </row>
    <row r="20" spans="1:14" ht="58.05" customHeight="1">
      <c r="A20" s="2" t="s">
        <v>13</v>
      </c>
      <c r="B20" s="3" t="s">
        <v>60</v>
      </c>
      <c r="C20" s="2" t="s">
        <v>41</v>
      </c>
      <c r="D20" s="4"/>
      <c r="E20" s="4"/>
      <c r="F20" s="4">
        <v>13.455500000000001</v>
      </c>
      <c r="G20" s="5"/>
      <c r="H20" s="5"/>
      <c r="I20" s="4"/>
      <c r="J20" s="4"/>
      <c r="K20" s="4"/>
      <c r="L20" s="4" t="str">
        <f>IF(UhsSimplifiedCandidates[[#This Row],[Minimum pressure bar]]&lt;1,IF(UhsSimplifiedCandidates[[#This Row],[Maximum pressure bar]]&gt;55,MAX(UhsSimplifiedCandidates[[#This Row],[Minimum pressure bar]],55),""),UhsSimplifiedCandidates[[#This Row],[Minimum pressure bar]])</f>
        <v/>
      </c>
      <c r="M20" s="4"/>
      <c r="N20" s="3" t="s">
        <v>61</v>
      </c>
    </row>
    <row r="21" spans="1:14" ht="58.05" customHeight="1">
      <c r="A21" s="2" t="s">
        <v>13</v>
      </c>
      <c r="B21" s="3" t="s">
        <v>62</v>
      </c>
      <c r="C21" s="2" t="s">
        <v>63</v>
      </c>
      <c r="D21" s="4">
        <v>4910.0020000000004</v>
      </c>
      <c r="E21" s="4">
        <v>1729.04685576</v>
      </c>
      <c r="F21" s="4">
        <v>18.34</v>
      </c>
      <c r="G21" s="5"/>
      <c r="H21" s="5"/>
      <c r="I21" s="4">
        <v>2200</v>
      </c>
      <c r="J21" s="4"/>
      <c r="K21" s="4">
        <v>90</v>
      </c>
      <c r="L21" s="4">
        <f>IF(UhsSimplifiedCandidates[[#This Row],[Minimum pressure bar]]&lt;1,IF(UhsSimplifiedCandidates[[#This Row],[Maximum pressure bar]]&gt;55,MAX(UhsSimplifiedCandidates[[#This Row],[Minimum pressure bar]],55),""),UhsSimplifiedCandidates[[#This Row],[Minimum pressure bar]])</f>
        <v>90</v>
      </c>
      <c r="M21" s="4">
        <v>280</v>
      </c>
      <c r="N21" s="3" t="s">
        <v>64</v>
      </c>
    </row>
    <row r="22" spans="1:14" ht="58.05" customHeight="1">
      <c r="A22" s="2" t="s">
        <v>13</v>
      </c>
      <c r="B22" s="3" t="s">
        <v>65</v>
      </c>
      <c r="C22" s="2" t="s">
        <v>24</v>
      </c>
      <c r="D22" s="4"/>
      <c r="E22" s="4"/>
      <c r="F22" s="4">
        <v>2.6749999999999998</v>
      </c>
      <c r="G22" s="5"/>
      <c r="H22" s="5"/>
      <c r="I22" s="4"/>
      <c r="J22" s="4"/>
      <c r="K22" s="4"/>
      <c r="L22" s="4" t="str">
        <f>IF(UhsSimplifiedCandidates[[#This Row],[Minimum pressure bar]]&lt;1,IF(UhsSimplifiedCandidates[[#This Row],[Maximum pressure bar]]&gt;55,MAX(UhsSimplifiedCandidates[[#This Row],[Minimum pressure bar]],55),""),UhsSimplifiedCandidates[[#This Row],[Minimum pressure bar]])</f>
        <v/>
      </c>
      <c r="M22" s="4"/>
      <c r="N22" s="3" t="s">
        <v>66</v>
      </c>
    </row>
    <row r="23" spans="1:14" ht="58.05" customHeight="1">
      <c r="A23" s="2" t="s">
        <v>13</v>
      </c>
      <c r="B23" s="3" t="s">
        <v>67</v>
      </c>
      <c r="C23" s="2" t="s">
        <v>18</v>
      </c>
      <c r="D23" s="4">
        <v>7406.9549999999999</v>
      </c>
      <c r="E23" s="4">
        <v>2608.3435465799998</v>
      </c>
      <c r="F23" s="4">
        <v>23.85</v>
      </c>
      <c r="G23" s="5"/>
      <c r="H23" s="5"/>
      <c r="I23" s="4">
        <v>3200</v>
      </c>
      <c r="J23" s="4"/>
      <c r="K23" s="4"/>
      <c r="L23" s="4">
        <f>IF(UhsSimplifiedCandidates[[#This Row],[Minimum pressure bar]]&lt;1,IF(UhsSimplifiedCandidates[[#This Row],[Maximum pressure bar]]&gt;55,MAX(UhsSimplifiedCandidates[[#This Row],[Minimum pressure bar]],55),""),UhsSimplifiedCandidates[[#This Row],[Minimum pressure bar]])</f>
        <v>55</v>
      </c>
      <c r="M23" s="4">
        <v>393</v>
      </c>
      <c r="N23" s="3" t="s">
        <v>68</v>
      </c>
    </row>
    <row r="24" spans="1:14" ht="58.05" customHeight="1">
      <c r="A24" s="2" t="s">
        <v>13</v>
      </c>
      <c r="B24" s="3" t="s">
        <v>69</v>
      </c>
      <c r="C24" s="2" t="s">
        <v>15</v>
      </c>
      <c r="D24" s="4"/>
      <c r="E24" s="4"/>
      <c r="F24" s="4">
        <v>0.184</v>
      </c>
      <c r="G24" s="5"/>
      <c r="H24" s="5"/>
      <c r="I24" s="4"/>
      <c r="J24" s="4"/>
      <c r="K24" s="4"/>
      <c r="L24" s="4" t="str">
        <f>IF(UhsSimplifiedCandidates[[#This Row],[Minimum pressure bar]]&lt;1,IF(UhsSimplifiedCandidates[[#This Row],[Maximum pressure bar]]&gt;55,MAX(UhsSimplifiedCandidates[[#This Row],[Minimum pressure bar]],55),""),UhsSimplifiedCandidates[[#This Row],[Minimum pressure bar]])</f>
        <v/>
      </c>
      <c r="M24" s="4"/>
      <c r="N24" s="3" t="s">
        <v>70</v>
      </c>
    </row>
    <row r="25" spans="1:14" ht="58.05" customHeight="1">
      <c r="A25" s="2" t="s">
        <v>13</v>
      </c>
      <c r="B25" s="3" t="s">
        <v>71</v>
      </c>
      <c r="C25" s="2" t="s">
        <v>15</v>
      </c>
      <c r="D25" s="4"/>
      <c r="E25" s="4"/>
      <c r="F25" s="4">
        <v>19.498999999999999</v>
      </c>
      <c r="G25" s="5"/>
      <c r="H25" s="5"/>
      <c r="I25" s="4"/>
      <c r="J25" s="4"/>
      <c r="K25" s="4"/>
      <c r="L25" s="4" t="str">
        <f>IF(UhsSimplifiedCandidates[[#This Row],[Minimum pressure bar]]&lt;1,IF(UhsSimplifiedCandidates[[#This Row],[Maximum pressure bar]]&gt;55,MAX(UhsSimplifiedCandidates[[#This Row],[Minimum pressure bar]],55),""),UhsSimplifiedCandidates[[#This Row],[Minimum pressure bar]])</f>
        <v/>
      </c>
      <c r="M25" s="4"/>
      <c r="N25" s="3" t="s">
        <v>72</v>
      </c>
    </row>
    <row r="26" spans="1:14" ht="58.05" customHeight="1">
      <c r="A26" s="2" t="s">
        <v>13</v>
      </c>
      <c r="B26" s="3" t="s">
        <v>73</v>
      </c>
      <c r="C26" s="2" t="s">
        <v>15</v>
      </c>
      <c r="D26" s="4"/>
      <c r="E26" s="4"/>
      <c r="F26" s="4">
        <v>14.8</v>
      </c>
      <c r="G26" s="5"/>
      <c r="H26" s="5"/>
      <c r="I26" s="4"/>
      <c r="J26" s="4"/>
      <c r="K26" s="4"/>
      <c r="L26" s="4" t="str">
        <f>IF(UhsSimplifiedCandidates[[#This Row],[Minimum pressure bar]]&lt;1,IF(UhsSimplifiedCandidates[[#This Row],[Maximum pressure bar]]&gt;55,MAX(UhsSimplifiedCandidates[[#This Row],[Minimum pressure bar]],55),""),UhsSimplifiedCandidates[[#This Row],[Minimum pressure bar]])</f>
        <v/>
      </c>
      <c r="M26" s="4"/>
      <c r="N26" s="3" t="s">
        <v>74</v>
      </c>
    </row>
    <row r="27" spans="1:14" ht="58.05" customHeight="1">
      <c r="A27" s="2" t="s">
        <v>13</v>
      </c>
      <c r="B27" s="3" t="s">
        <v>75</v>
      </c>
      <c r="C27" s="2" t="s">
        <v>76</v>
      </c>
      <c r="D27" s="4">
        <v>4659.4690000000001</v>
      </c>
      <c r="E27" s="4">
        <v>1640.8220985299999</v>
      </c>
      <c r="F27" s="4">
        <v>17.72</v>
      </c>
      <c r="G27" s="5"/>
      <c r="H27" s="5"/>
      <c r="I27" s="4">
        <v>950</v>
      </c>
      <c r="J27" s="4"/>
      <c r="K27" s="4">
        <v>52</v>
      </c>
      <c r="L27" s="4">
        <f>IF(UhsSimplifiedCandidates[[#This Row],[Minimum pressure bar]]&lt;1,IF(UhsSimplifiedCandidates[[#This Row],[Maximum pressure bar]]&gt;55,MAX(UhsSimplifiedCandidates[[#This Row],[Minimum pressure bar]],55),""),UhsSimplifiedCandidates[[#This Row],[Minimum pressure bar]])</f>
        <v>52</v>
      </c>
      <c r="M27" s="4">
        <v>97</v>
      </c>
      <c r="N27" s="3" t="s">
        <v>77</v>
      </c>
    </row>
    <row r="28" spans="1:14" ht="58.05" customHeight="1">
      <c r="A28" s="2" t="s">
        <v>13</v>
      </c>
      <c r="B28" s="3" t="s">
        <v>78</v>
      </c>
      <c r="C28" s="2" t="s">
        <v>79</v>
      </c>
      <c r="D28" s="4"/>
      <c r="E28" s="4"/>
      <c r="F28" s="4">
        <v>2.8149999999999999</v>
      </c>
      <c r="G28" s="5"/>
      <c r="H28" s="5"/>
      <c r="I28" s="4"/>
      <c r="J28" s="4"/>
      <c r="K28" s="4"/>
      <c r="L28" s="4" t="str">
        <f>IF(UhsSimplifiedCandidates[[#This Row],[Minimum pressure bar]]&lt;1,IF(UhsSimplifiedCandidates[[#This Row],[Maximum pressure bar]]&gt;55,MAX(UhsSimplifiedCandidates[[#This Row],[Minimum pressure bar]],55),""),UhsSimplifiedCandidates[[#This Row],[Minimum pressure bar]])</f>
        <v/>
      </c>
      <c r="M28" s="4"/>
      <c r="N28" s="3" t="s">
        <v>80</v>
      </c>
    </row>
    <row r="29" spans="1:14" ht="58.05" customHeight="1">
      <c r="A29" s="2" t="s">
        <v>13</v>
      </c>
      <c r="B29" s="3" t="s">
        <v>81</v>
      </c>
      <c r="C29" s="2" t="s">
        <v>79</v>
      </c>
      <c r="D29" s="4"/>
      <c r="E29" s="4"/>
      <c r="F29" s="4">
        <v>0.79800000000000004</v>
      </c>
      <c r="G29" s="5"/>
      <c r="H29" s="5"/>
      <c r="I29" s="4">
        <v>440</v>
      </c>
      <c r="J29" s="4"/>
      <c r="K29" s="4"/>
      <c r="L29" s="4" t="str">
        <f>IF(UhsSimplifiedCandidates[[#This Row],[Minimum pressure bar]]&lt;1,IF(UhsSimplifiedCandidates[[#This Row],[Maximum pressure bar]]&gt;55,MAX(UhsSimplifiedCandidates[[#This Row],[Minimum pressure bar]],55),""),UhsSimplifiedCandidates[[#This Row],[Minimum pressure bar]])</f>
        <v/>
      </c>
      <c r="M29" s="4"/>
      <c r="N29" s="3" t="s">
        <v>82</v>
      </c>
    </row>
    <row r="30" spans="1:14" ht="58.05" customHeight="1">
      <c r="A30" s="2" t="s">
        <v>13</v>
      </c>
      <c r="B30" s="3" t="s">
        <v>83</v>
      </c>
      <c r="C30" s="2" t="s">
        <v>41</v>
      </c>
      <c r="D30" s="4">
        <v>1505.93</v>
      </c>
      <c r="E30" s="4">
        <v>530.31017250000002</v>
      </c>
      <c r="F30" s="4">
        <v>5.65</v>
      </c>
      <c r="G30" s="5"/>
      <c r="H30" s="5"/>
      <c r="I30" s="4">
        <v>1277</v>
      </c>
      <c r="J30" s="4"/>
      <c r="K30" s="4">
        <v>69</v>
      </c>
      <c r="L30" s="4">
        <f>IF(UhsSimplifiedCandidates[[#This Row],[Minimum pressure bar]]&lt;1,IF(UhsSimplifiedCandidates[[#This Row],[Maximum pressure bar]]&gt;55,MAX(UhsSimplifiedCandidates[[#This Row],[Minimum pressure bar]],55),""),UhsSimplifiedCandidates[[#This Row],[Minimum pressure bar]])</f>
        <v>69</v>
      </c>
      <c r="M30" s="4">
        <v>115</v>
      </c>
      <c r="N30" s="3" t="s">
        <v>84</v>
      </c>
    </row>
    <row r="31" spans="1:14" ht="58.05" customHeight="1">
      <c r="A31" s="2" t="s">
        <v>13</v>
      </c>
      <c r="B31" s="3" t="s">
        <v>85</v>
      </c>
      <c r="C31" s="2" t="s">
        <v>21</v>
      </c>
      <c r="D31" s="4">
        <v>1276.4929999999999</v>
      </c>
      <c r="E31" s="4">
        <v>449.51447155</v>
      </c>
      <c r="F31" s="4">
        <v>4.8</v>
      </c>
      <c r="G31" s="5"/>
      <c r="H31" s="5"/>
      <c r="I31" s="4">
        <v>700</v>
      </c>
      <c r="J31" s="4"/>
      <c r="K31" s="4">
        <v>30</v>
      </c>
      <c r="L31" s="4">
        <f>IF(UhsSimplifiedCandidates[[#This Row],[Minimum pressure bar]]&lt;1,IF(UhsSimplifiedCandidates[[#This Row],[Maximum pressure bar]]&gt;55,MAX(UhsSimplifiedCandidates[[#This Row],[Minimum pressure bar]],55),""),UhsSimplifiedCandidates[[#This Row],[Minimum pressure bar]])</f>
        <v>30</v>
      </c>
      <c r="M31" s="4">
        <v>92</v>
      </c>
      <c r="N31" s="3" t="s">
        <v>86</v>
      </c>
    </row>
    <row r="32" spans="1:14" ht="58.05" customHeight="1">
      <c r="A32" s="2" t="s">
        <v>13</v>
      </c>
      <c r="B32" s="3" t="s">
        <v>87</v>
      </c>
      <c r="C32" s="2" t="s">
        <v>76</v>
      </c>
      <c r="D32" s="4">
        <v>795.50599999999997</v>
      </c>
      <c r="E32" s="4">
        <v>280.13575938999998</v>
      </c>
      <c r="F32" s="4">
        <v>3.03</v>
      </c>
      <c r="G32" s="5"/>
      <c r="H32" s="5"/>
      <c r="I32" s="4">
        <v>1150</v>
      </c>
      <c r="J32" s="4"/>
      <c r="K32" s="4">
        <v>98</v>
      </c>
      <c r="L32" s="4">
        <f>IF(UhsSimplifiedCandidates[[#This Row],[Minimum pressure bar]]&lt;1,IF(UhsSimplifiedCandidates[[#This Row],[Maximum pressure bar]]&gt;55,MAX(UhsSimplifiedCandidates[[#This Row],[Minimum pressure bar]],55),""),UhsSimplifiedCandidates[[#This Row],[Minimum pressure bar]])</f>
        <v>98</v>
      </c>
      <c r="M32" s="4">
        <v>130</v>
      </c>
      <c r="N32" s="3" t="s">
        <v>88</v>
      </c>
    </row>
    <row r="33" spans="1:14" ht="58.05" customHeight="1">
      <c r="A33" s="2" t="s">
        <v>13</v>
      </c>
      <c r="B33" s="3" t="s">
        <v>89</v>
      </c>
      <c r="C33" s="2" t="s">
        <v>47</v>
      </c>
      <c r="D33" s="4"/>
      <c r="E33" s="4"/>
      <c r="F33" s="4">
        <v>6.9476000000000004</v>
      </c>
      <c r="G33" s="5"/>
      <c r="H33" s="5"/>
      <c r="I33" s="4"/>
      <c r="J33" s="4"/>
      <c r="K33" s="4"/>
      <c r="L33" s="4" t="str">
        <f>IF(UhsSimplifiedCandidates[[#This Row],[Minimum pressure bar]]&lt;1,IF(UhsSimplifiedCandidates[[#This Row],[Maximum pressure bar]]&gt;55,MAX(UhsSimplifiedCandidates[[#This Row],[Minimum pressure bar]],55),""),UhsSimplifiedCandidates[[#This Row],[Minimum pressure bar]])</f>
        <v/>
      </c>
      <c r="M33" s="4"/>
      <c r="N33" s="3" t="s">
        <v>90</v>
      </c>
    </row>
    <row r="34" spans="1:14" ht="58.05" customHeight="1">
      <c r="A34" s="2" t="s">
        <v>13</v>
      </c>
      <c r="B34" s="3" t="s">
        <v>91</v>
      </c>
      <c r="C34" s="2" t="s">
        <v>63</v>
      </c>
      <c r="D34" s="4"/>
      <c r="E34" s="4"/>
      <c r="F34" s="4">
        <v>0.83099999999999996</v>
      </c>
      <c r="G34" s="5"/>
      <c r="H34" s="5"/>
      <c r="I34" s="4"/>
      <c r="J34" s="4"/>
      <c r="K34" s="4"/>
      <c r="L34" s="4" t="str">
        <f>IF(UhsSimplifiedCandidates[[#This Row],[Minimum pressure bar]]&lt;1,IF(UhsSimplifiedCandidates[[#This Row],[Maximum pressure bar]]&gt;55,MAX(UhsSimplifiedCandidates[[#This Row],[Minimum pressure bar]],55),""),UhsSimplifiedCandidates[[#This Row],[Minimum pressure bar]])</f>
        <v/>
      </c>
      <c r="M34" s="4"/>
      <c r="N34" s="3" t="s">
        <v>92</v>
      </c>
    </row>
    <row r="35" spans="1:14" ht="58.05" customHeight="1">
      <c r="A35" s="2" t="s">
        <v>13</v>
      </c>
      <c r="B35" s="3" t="s">
        <v>93</v>
      </c>
      <c r="C35" s="2" t="s">
        <v>38</v>
      </c>
      <c r="D35" s="4">
        <v>9359.7039999999997</v>
      </c>
      <c r="E35" s="4">
        <v>3296</v>
      </c>
      <c r="F35" s="4"/>
      <c r="G35" s="5"/>
      <c r="H35" s="5"/>
      <c r="I35" s="4">
        <v>1180</v>
      </c>
      <c r="J35" s="4"/>
      <c r="K35" s="4">
        <v>82.8</v>
      </c>
      <c r="L35" s="4">
        <f>IF(UhsSimplifiedCandidates[[#This Row],[Minimum pressure bar]]&lt;1,IF(UhsSimplifiedCandidates[[#This Row],[Maximum pressure bar]]&gt;55,MAX(UhsSimplifiedCandidates[[#This Row],[Minimum pressure bar]],55),""),UhsSimplifiedCandidates[[#This Row],[Minimum pressure bar]])</f>
        <v>82.8</v>
      </c>
      <c r="M35" s="4">
        <v>149.4</v>
      </c>
      <c r="N35" s="3" t="s">
        <v>94</v>
      </c>
    </row>
    <row r="36" spans="1:14" ht="58.05" customHeight="1">
      <c r="A36" s="2" t="s">
        <v>13</v>
      </c>
      <c r="B36" s="3" t="s">
        <v>95</v>
      </c>
      <c r="C36" s="2" t="s">
        <v>18</v>
      </c>
      <c r="D36" s="4">
        <v>18688.420999999998</v>
      </c>
      <c r="E36" s="4">
        <v>6581.0879604399997</v>
      </c>
      <c r="F36" s="4">
        <v>59.338500000000003</v>
      </c>
      <c r="G36" s="5"/>
      <c r="H36" s="5"/>
      <c r="I36" s="4">
        <v>2540</v>
      </c>
      <c r="J36" s="4"/>
      <c r="K36" s="4"/>
      <c r="L36" s="4">
        <f>IF(UhsSimplifiedCandidates[[#This Row],[Minimum pressure bar]]&lt;1,IF(UhsSimplifiedCandidates[[#This Row],[Maximum pressure bar]]&gt;55,MAX(UhsSimplifiedCandidates[[#This Row],[Minimum pressure bar]],55),""),UhsSimplifiedCandidates[[#This Row],[Minimum pressure bar]])</f>
        <v>55</v>
      </c>
      <c r="M36" s="4">
        <v>327</v>
      </c>
      <c r="N36" s="3" t="s">
        <v>96</v>
      </c>
    </row>
    <row r="37" spans="1:14" ht="58.05" customHeight="1">
      <c r="A37" s="2" t="s">
        <v>13</v>
      </c>
      <c r="B37" s="3" t="s">
        <v>97</v>
      </c>
      <c r="C37" s="2" t="s">
        <v>15</v>
      </c>
      <c r="D37" s="4"/>
      <c r="E37" s="4"/>
      <c r="F37" s="4">
        <v>6.3</v>
      </c>
      <c r="G37" s="5"/>
      <c r="H37" s="5"/>
      <c r="I37" s="4"/>
      <c r="J37" s="4"/>
      <c r="K37" s="4"/>
      <c r="L37" s="4" t="str">
        <f>IF(UhsSimplifiedCandidates[[#This Row],[Minimum pressure bar]]&lt;1,IF(UhsSimplifiedCandidates[[#This Row],[Maximum pressure bar]]&gt;55,MAX(UhsSimplifiedCandidates[[#This Row],[Minimum pressure bar]],55),""),UhsSimplifiedCandidates[[#This Row],[Minimum pressure bar]])</f>
        <v/>
      </c>
      <c r="M37" s="4"/>
      <c r="N37" s="3" t="s">
        <v>98</v>
      </c>
    </row>
    <row r="38" spans="1:14" ht="58.05" customHeight="1">
      <c r="A38" s="2" t="s">
        <v>13</v>
      </c>
      <c r="B38" s="3" t="s">
        <v>99</v>
      </c>
      <c r="C38" s="2" t="s">
        <v>100</v>
      </c>
      <c r="D38" s="4">
        <v>1480.4970000000001</v>
      </c>
      <c r="E38" s="4">
        <v>521.35382291999997</v>
      </c>
      <c r="F38" s="4">
        <v>4.7725</v>
      </c>
      <c r="G38" s="5"/>
      <c r="H38" s="5"/>
      <c r="I38" s="4">
        <v>1826</v>
      </c>
      <c r="J38" s="4"/>
      <c r="K38" s="4">
        <v>80</v>
      </c>
      <c r="L38" s="4">
        <f>IF(UhsSimplifiedCandidates[[#This Row],[Minimum pressure bar]]&lt;1,IF(UhsSimplifiedCandidates[[#This Row],[Maximum pressure bar]]&gt;55,MAX(UhsSimplifiedCandidates[[#This Row],[Minimum pressure bar]],55),""),UhsSimplifiedCandidates[[#This Row],[Minimum pressure bar]])</f>
        <v>80</v>
      </c>
      <c r="M38" s="4">
        <v>196</v>
      </c>
      <c r="N38" s="3" t="s">
        <v>101</v>
      </c>
    </row>
    <row r="39" spans="1:14" ht="58.05" customHeight="1">
      <c r="A39" s="2" t="s">
        <v>13</v>
      </c>
      <c r="B39" s="3" t="s">
        <v>102</v>
      </c>
      <c r="C39" s="2" t="s">
        <v>15</v>
      </c>
      <c r="D39" s="4"/>
      <c r="E39" s="4"/>
      <c r="F39" s="4">
        <v>13.4</v>
      </c>
      <c r="G39" s="5"/>
      <c r="H39" s="5"/>
      <c r="I39" s="4"/>
      <c r="J39" s="4"/>
      <c r="K39" s="4"/>
      <c r="L39" s="4" t="str">
        <f>IF(UhsSimplifiedCandidates[[#This Row],[Minimum pressure bar]]&lt;1,IF(UhsSimplifiedCandidates[[#This Row],[Maximum pressure bar]]&gt;55,MAX(UhsSimplifiedCandidates[[#This Row],[Minimum pressure bar]],55),""),UhsSimplifiedCandidates[[#This Row],[Minimum pressure bar]])</f>
        <v/>
      </c>
      <c r="M39" s="4"/>
      <c r="N39" s="3" t="s">
        <v>103</v>
      </c>
    </row>
    <row r="40" spans="1:14" ht="58.05" customHeight="1">
      <c r="A40" s="2" t="s">
        <v>13</v>
      </c>
      <c r="B40" s="3" t="s">
        <v>104</v>
      </c>
      <c r="C40" s="2" t="s">
        <v>76</v>
      </c>
      <c r="D40" s="4">
        <v>965.99099999999999</v>
      </c>
      <c r="E40" s="4">
        <v>340.17158477999999</v>
      </c>
      <c r="F40" s="4">
        <v>3.67</v>
      </c>
      <c r="G40" s="5"/>
      <c r="H40" s="5"/>
      <c r="I40" s="4">
        <v>1400</v>
      </c>
      <c r="J40" s="4"/>
      <c r="K40" s="4">
        <v>65</v>
      </c>
      <c r="L40" s="4">
        <f>IF(UhsSimplifiedCandidates[[#This Row],[Minimum pressure bar]]&lt;1,IF(UhsSimplifiedCandidates[[#This Row],[Maximum pressure bar]]&gt;55,MAX(UhsSimplifiedCandidates[[#This Row],[Minimum pressure bar]],55),""),UhsSimplifiedCandidates[[#This Row],[Minimum pressure bar]])</f>
        <v>65</v>
      </c>
      <c r="M40" s="4">
        <v>140</v>
      </c>
      <c r="N40" s="3" t="s">
        <v>105</v>
      </c>
    </row>
    <row r="41" spans="1:14" ht="58.05" customHeight="1">
      <c r="A41" s="2" t="s">
        <v>13</v>
      </c>
      <c r="B41" s="3" t="s">
        <v>106</v>
      </c>
      <c r="C41" s="2" t="s">
        <v>21</v>
      </c>
      <c r="D41" s="4">
        <v>12494.75</v>
      </c>
      <c r="E41" s="4">
        <v>4400</v>
      </c>
      <c r="F41" s="4">
        <v>35.74</v>
      </c>
      <c r="G41" s="5"/>
      <c r="H41" s="5"/>
      <c r="I41" s="4">
        <v>1850</v>
      </c>
      <c r="J41" s="4"/>
      <c r="K41" s="4">
        <v>110</v>
      </c>
      <c r="L41" s="4">
        <f>IF(UhsSimplifiedCandidates[[#This Row],[Minimum pressure bar]]&lt;1,IF(UhsSimplifiedCandidates[[#This Row],[Maximum pressure bar]]&gt;55,MAX(UhsSimplifiedCandidates[[#This Row],[Minimum pressure bar]],55),""),UhsSimplifiedCandidates[[#This Row],[Minimum pressure bar]])</f>
        <v>110</v>
      </c>
      <c r="M41" s="4">
        <v>280</v>
      </c>
      <c r="N41" s="3" t="s">
        <v>107</v>
      </c>
    </row>
    <row r="42" spans="1:14" ht="58.05" customHeight="1">
      <c r="A42" s="2" t="s">
        <v>13</v>
      </c>
      <c r="B42" s="3" t="s">
        <v>108</v>
      </c>
      <c r="C42" s="2" t="s">
        <v>38</v>
      </c>
      <c r="D42" s="4">
        <v>4160.1840000000002</v>
      </c>
      <c r="E42" s="4">
        <v>1465</v>
      </c>
      <c r="F42" s="4"/>
      <c r="G42" s="5"/>
      <c r="H42" s="5"/>
      <c r="I42" s="4">
        <v>1400</v>
      </c>
      <c r="J42" s="4"/>
      <c r="K42" s="4">
        <v>76.8</v>
      </c>
      <c r="L42" s="4">
        <f>IF(UhsSimplifiedCandidates[[#This Row],[Minimum pressure bar]]&lt;1,IF(UhsSimplifiedCandidates[[#This Row],[Maximum pressure bar]]&gt;55,MAX(UhsSimplifiedCandidates[[#This Row],[Minimum pressure bar]],55),""),UhsSimplifiedCandidates[[#This Row],[Minimum pressure bar]])</f>
        <v>76.8</v>
      </c>
      <c r="M42" s="4">
        <v>180.2</v>
      </c>
      <c r="N42" s="3" t="s">
        <v>109</v>
      </c>
    </row>
    <row r="43" spans="1:14" ht="58.05" customHeight="1">
      <c r="A43" s="2" t="s">
        <v>13</v>
      </c>
      <c r="B43" s="3" t="s">
        <v>110</v>
      </c>
      <c r="C43" s="2" t="s">
        <v>18</v>
      </c>
      <c r="D43" s="4">
        <v>2214.9780000000001</v>
      </c>
      <c r="E43" s="4"/>
      <c r="F43" s="4"/>
      <c r="G43" s="5"/>
      <c r="H43" s="5"/>
      <c r="I43" s="4">
        <v>2850</v>
      </c>
      <c r="J43" s="4">
        <v>106</v>
      </c>
      <c r="K43" s="4">
        <v>185</v>
      </c>
      <c r="L43" s="4">
        <f>IF(UhsSimplifiedCandidates[[#This Row],[Minimum pressure bar]]&lt;1,IF(UhsSimplifiedCandidates[[#This Row],[Maximum pressure bar]]&gt;55,MAX(UhsSimplifiedCandidates[[#This Row],[Minimum pressure bar]],55),""),UhsSimplifiedCandidates[[#This Row],[Minimum pressure bar]])</f>
        <v>185</v>
      </c>
      <c r="M43" s="4">
        <v>251</v>
      </c>
      <c r="N43" s="3" t="s">
        <v>111</v>
      </c>
    </row>
    <row r="44" spans="1:14" ht="58.05" customHeight="1">
      <c r="A44" s="2" t="s">
        <v>13</v>
      </c>
      <c r="B44" s="3" t="s">
        <v>112</v>
      </c>
      <c r="C44" s="2" t="s">
        <v>79</v>
      </c>
      <c r="D44" s="4"/>
      <c r="E44" s="4"/>
      <c r="F44" s="4">
        <v>16.88</v>
      </c>
      <c r="G44" s="5"/>
      <c r="H44" s="5"/>
      <c r="I44" s="4">
        <v>2789.6</v>
      </c>
      <c r="J44" s="4"/>
      <c r="K44" s="4">
        <v>147</v>
      </c>
      <c r="L44" s="4">
        <f>IF(UhsSimplifiedCandidates[[#This Row],[Minimum pressure bar]]&lt;1,IF(UhsSimplifiedCandidates[[#This Row],[Maximum pressure bar]]&gt;55,MAX(UhsSimplifiedCandidates[[#This Row],[Minimum pressure bar]],55),""),UhsSimplifiedCandidates[[#This Row],[Minimum pressure bar]])</f>
        <v>147</v>
      </c>
      <c r="M44" s="4">
        <v>259</v>
      </c>
      <c r="N44" s="3" t="s">
        <v>113</v>
      </c>
    </row>
    <row r="45" spans="1:14" ht="58.05" customHeight="1">
      <c r="A45" s="2" t="s">
        <v>13</v>
      </c>
      <c r="B45" s="3" t="s">
        <v>114</v>
      </c>
      <c r="C45" s="2" t="s">
        <v>15</v>
      </c>
      <c r="D45" s="4">
        <v>1.278</v>
      </c>
      <c r="E45" s="4"/>
      <c r="F45" s="4"/>
      <c r="G45" s="5"/>
      <c r="H45" s="5"/>
      <c r="I45" s="4">
        <v>1100</v>
      </c>
      <c r="J45" s="4"/>
      <c r="K45" s="4"/>
      <c r="L45" s="4">
        <f>IF(UhsSimplifiedCandidates[[#This Row],[Minimum pressure bar]]&lt;1,IF(UhsSimplifiedCandidates[[#This Row],[Maximum pressure bar]]&gt;55,MAX(UhsSimplifiedCandidates[[#This Row],[Minimum pressure bar]],55),""),UhsSimplifiedCandidates[[#This Row],[Minimum pressure bar]])</f>
        <v>55</v>
      </c>
      <c r="M45" s="4">
        <v>107</v>
      </c>
      <c r="N45" s="3" t="s">
        <v>115</v>
      </c>
    </row>
    <row r="46" spans="1:14" ht="58.05" customHeight="1">
      <c r="A46" s="2" t="s">
        <v>13</v>
      </c>
      <c r="B46" s="3" t="s">
        <v>116</v>
      </c>
      <c r="C46" s="2" t="s">
        <v>38</v>
      </c>
      <c r="D46" s="4">
        <v>3240.116</v>
      </c>
      <c r="E46" s="4">
        <v>1141</v>
      </c>
      <c r="F46" s="4"/>
      <c r="G46" s="5"/>
      <c r="H46" s="5"/>
      <c r="I46" s="4">
        <v>1100</v>
      </c>
      <c r="J46" s="4">
        <v>68.650000000000006</v>
      </c>
      <c r="K46" s="4">
        <v>77.400000000000006</v>
      </c>
      <c r="L46" s="4">
        <f>IF(UhsSimplifiedCandidates[[#This Row],[Minimum pressure bar]]&lt;1,IF(UhsSimplifiedCandidates[[#This Row],[Maximum pressure bar]]&gt;55,MAX(UhsSimplifiedCandidates[[#This Row],[Minimum pressure bar]],55),""),UhsSimplifiedCandidates[[#This Row],[Minimum pressure bar]])</f>
        <v>77.400000000000006</v>
      </c>
      <c r="M46" s="4">
        <v>142.19999999999999</v>
      </c>
      <c r="N46" s="3" t="s">
        <v>117</v>
      </c>
    </row>
    <row r="47" spans="1:14" ht="58.05" customHeight="1">
      <c r="A47" s="2" t="s">
        <v>13</v>
      </c>
      <c r="B47" s="3" t="s">
        <v>118</v>
      </c>
      <c r="C47" s="2" t="s">
        <v>24</v>
      </c>
      <c r="D47" s="4"/>
      <c r="E47" s="4"/>
      <c r="F47" s="4">
        <v>9.6300000000000008</v>
      </c>
      <c r="G47" s="5"/>
      <c r="H47" s="5"/>
      <c r="I47" s="4"/>
      <c r="J47" s="4"/>
      <c r="K47" s="4"/>
      <c r="L47" s="4" t="str">
        <f>IF(UhsSimplifiedCandidates[[#This Row],[Minimum pressure bar]]&lt;1,IF(UhsSimplifiedCandidates[[#This Row],[Maximum pressure bar]]&gt;55,MAX(UhsSimplifiedCandidates[[#This Row],[Minimum pressure bar]],55),""),UhsSimplifiedCandidates[[#This Row],[Minimum pressure bar]])</f>
        <v/>
      </c>
      <c r="M47" s="4"/>
      <c r="N47" s="3" t="s">
        <v>119</v>
      </c>
    </row>
    <row r="48" spans="1:14" ht="58.05" customHeight="1">
      <c r="A48" s="2" t="s">
        <v>13</v>
      </c>
      <c r="B48" s="3" t="s">
        <v>120</v>
      </c>
      <c r="C48" s="2" t="s">
        <v>21</v>
      </c>
      <c r="D48" s="4">
        <v>446.82600000000002</v>
      </c>
      <c r="E48" s="4">
        <v>157.34892052000001</v>
      </c>
      <c r="F48" s="4">
        <v>1.794</v>
      </c>
      <c r="G48" s="5"/>
      <c r="H48" s="5"/>
      <c r="I48" s="4">
        <v>1015</v>
      </c>
      <c r="J48" s="4"/>
      <c r="K48" s="4">
        <v>40</v>
      </c>
      <c r="L48" s="4">
        <f>IF(UhsSimplifiedCandidates[[#This Row],[Minimum pressure bar]]&lt;1,IF(UhsSimplifiedCandidates[[#This Row],[Maximum pressure bar]]&gt;55,MAX(UhsSimplifiedCandidates[[#This Row],[Minimum pressure bar]],55),""),UhsSimplifiedCandidates[[#This Row],[Minimum pressure bar]])</f>
        <v>40</v>
      </c>
      <c r="M48" s="4">
        <v>110</v>
      </c>
      <c r="N48" s="3" t="s">
        <v>121</v>
      </c>
    </row>
    <row r="49" spans="1:14" ht="58.05" customHeight="1">
      <c r="A49" s="2" t="s">
        <v>13</v>
      </c>
      <c r="B49" s="3" t="s">
        <v>122</v>
      </c>
      <c r="C49" s="2" t="s">
        <v>15</v>
      </c>
      <c r="D49" s="4"/>
      <c r="E49" s="4"/>
      <c r="F49" s="4">
        <v>22.18</v>
      </c>
      <c r="G49" s="5"/>
      <c r="H49" s="5"/>
      <c r="I49" s="4"/>
      <c r="J49" s="4"/>
      <c r="K49" s="4"/>
      <c r="L49" s="4" t="str">
        <f>IF(UhsSimplifiedCandidates[[#This Row],[Minimum pressure bar]]&lt;1,IF(UhsSimplifiedCandidates[[#This Row],[Maximum pressure bar]]&gt;55,MAX(UhsSimplifiedCandidates[[#This Row],[Minimum pressure bar]],55),""),UhsSimplifiedCandidates[[#This Row],[Minimum pressure bar]])</f>
        <v/>
      </c>
      <c r="M49" s="4"/>
      <c r="N49" s="3" t="s">
        <v>123</v>
      </c>
    </row>
    <row r="50" spans="1:14" ht="58.05" customHeight="1">
      <c r="A50" s="2" t="s">
        <v>13</v>
      </c>
      <c r="B50" s="3" t="s">
        <v>124</v>
      </c>
      <c r="C50" s="2" t="s">
        <v>38</v>
      </c>
      <c r="D50" s="4">
        <v>6815.3180000000002</v>
      </c>
      <c r="E50" s="4">
        <v>2400</v>
      </c>
      <c r="F50" s="4"/>
      <c r="G50" s="5"/>
      <c r="H50" s="5"/>
      <c r="I50" s="4">
        <v>1160</v>
      </c>
      <c r="J50" s="4"/>
      <c r="K50" s="4">
        <v>82</v>
      </c>
      <c r="L50" s="4">
        <f>IF(UhsSimplifiedCandidates[[#This Row],[Minimum pressure bar]]&lt;1,IF(UhsSimplifiedCandidates[[#This Row],[Maximum pressure bar]]&gt;55,MAX(UhsSimplifiedCandidates[[#This Row],[Minimum pressure bar]],55),""),UhsSimplifiedCandidates[[#This Row],[Minimum pressure bar]])</f>
        <v>82</v>
      </c>
      <c r="M50" s="4">
        <v>154</v>
      </c>
      <c r="N50" s="3" t="s">
        <v>125</v>
      </c>
    </row>
    <row r="51" spans="1:14" ht="58.05" customHeight="1">
      <c r="A51" s="2" t="s">
        <v>13</v>
      </c>
      <c r="B51" s="3" t="s">
        <v>126</v>
      </c>
      <c r="C51" s="2" t="s">
        <v>63</v>
      </c>
      <c r="D51" s="4">
        <v>2604.9250000000002</v>
      </c>
      <c r="E51" s="4">
        <v>917.31875172000002</v>
      </c>
      <c r="F51" s="4">
        <v>9.73</v>
      </c>
      <c r="G51" s="5"/>
      <c r="H51" s="5"/>
      <c r="I51" s="4">
        <v>1550</v>
      </c>
      <c r="J51" s="4"/>
      <c r="K51" s="4">
        <v>95</v>
      </c>
      <c r="L51" s="4">
        <f>IF(UhsSimplifiedCandidates[[#This Row],[Minimum pressure bar]]&lt;1,IF(UhsSimplifiedCandidates[[#This Row],[Maximum pressure bar]]&gt;55,MAX(UhsSimplifiedCandidates[[#This Row],[Minimum pressure bar]],55),""),UhsSimplifiedCandidates[[#This Row],[Minimum pressure bar]])</f>
        <v>95</v>
      </c>
      <c r="M51" s="4">
        <v>177</v>
      </c>
      <c r="N51" s="3" t="s">
        <v>127</v>
      </c>
    </row>
    <row r="52" spans="1:14" ht="58.05" customHeight="1">
      <c r="A52" s="2" t="s">
        <v>13</v>
      </c>
      <c r="B52" s="3" t="s">
        <v>128</v>
      </c>
      <c r="C52" s="2" t="s">
        <v>38</v>
      </c>
      <c r="D52" s="4">
        <v>4955.3040000000001</v>
      </c>
      <c r="E52" s="4">
        <v>1745</v>
      </c>
      <c r="F52" s="4"/>
      <c r="G52" s="5"/>
      <c r="H52" s="5"/>
      <c r="I52" s="4">
        <v>1130</v>
      </c>
      <c r="J52" s="4">
        <v>101.6</v>
      </c>
      <c r="K52" s="4">
        <v>105.2</v>
      </c>
      <c r="L52" s="4">
        <f>IF(UhsSimplifiedCandidates[[#This Row],[Minimum pressure bar]]&lt;1,IF(UhsSimplifiedCandidates[[#This Row],[Maximum pressure bar]]&gt;55,MAX(UhsSimplifiedCandidates[[#This Row],[Minimum pressure bar]],55),""),UhsSimplifiedCandidates[[#This Row],[Minimum pressure bar]])</f>
        <v>105.2</v>
      </c>
      <c r="M52" s="4">
        <v>136.69999999999999</v>
      </c>
      <c r="N52" s="3" t="s">
        <v>129</v>
      </c>
    </row>
    <row r="53" spans="1:14" ht="58.05" customHeight="1">
      <c r="A53" s="2" t="s">
        <v>13</v>
      </c>
      <c r="B53" s="3" t="s">
        <v>130</v>
      </c>
      <c r="C53" s="2" t="s">
        <v>131</v>
      </c>
      <c r="D53" s="4"/>
      <c r="E53" s="4"/>
      <c r="F53" s="4"/>
      <c r="G53" s="5"/>
      <c r="H53" s="5"/>
      <c r="I53" s="4">
        <v>2650</v>
      </c>
      <c r="J53" s="4">
        <v>50</v>
      </c>
      <c r="K53" s="4">
        <v>100</v>
      </c>
      <c r="L53" s="4">
        <f>IF(UhsSimplifiedCandidates[[#This Row],[Minimum pressure bar]]&lt;1,IF(UhsSimplifiedCandidates[[#This Row],[Maximum pressure bar]]&gt;55,MAX(UhsSimplifiedCandidates[[#This Row],[Minimum pressure bar]],55),""),UhsSimplifiedCandidates[[#This Row],[Minimum pressure bar]])</f>
        <v>100</v>
      </c>
      <c r="M53" s="4">
        <v>248</v>
      </c>
      <c r="N53" s="3" t="s">
        <v>132</v>
      </c>
    </row>
    <row r="54" spans="1:14" ht="58.05" customHeight="1">
      <c r="A54" s="2" t="s">
        <v>13</v>
      </c>
      <c r="B54" s="3" t="s">
        <v>133</v>
      </c>
      <c r="C54" s="2" t="s">
        <v>134</v>
      </c>
      <c r="D54" s="4"/>
      <c r="E54" s="4"/>
      <c r="F54" s="4">
        <v>52.9</v>
      </c>
      <c r="G54" s="5"/>
      <c r="H54" s="5"/>
      <c r="I54" s="4"/>
      <c r="J54" s="4"/>
      <c r="K54" s="4"/>
      <c r="L54" s="4" t="str">
        <f>IF(UhsSimplifiedCandidates[[#This Row],[Minimum pressure bar]]&lt;1,IF(UhsSimplifiedCandidates[[#This Row],[Maximum pressure bar]]&gt;55,MAX(UhsSimplifiedCandidates[[#This Row],[Minimum pressure bar]],55),""),UhsSimplifiedCandidates[[#This Row],[Minimum pressure bar]])</f>
        <v/>
      </c>
      <c r="M54" s="4"/>
      <c r="N54" s="3" t="s">
        <v>135</v>
      </c>
    </row>
    <row r="55" spans="1:14" ht="58.05" customHeight="1">
      <c r="A55" s="2" t="s">
        <v>13</v>
      </c>
      <c r="B55" s="3" t="s">
        <v>136</v>
      </c>
      <c r="C55" s="2" t="s">
        <v>41</v>
      </c>
      <c r="D55" s="4"/>
      <c r="E55" s="4"/>
      <c r="F55" s="4">
        <v>5.835</v>
      </c>
      <c r="G55" s="5"/>
      <c r="H55" s="5"/>
      <c r="I55" s="4"/>
      <c r="J55" s="4"/>
      <c r="K55" s="4"/>
      <c r="L55" s="4" t="str">
        <f>IF(UhsSimplifiedCandidates[[#This Row],[Minimum pressure bar]]&lt;1,IF(UhsSimplifiedCandidates[[#This Row],[Maximum pressure bar]]&gt;55,MAX(UhsSimplifiedCandidates[[#This Row],[Minimum pressure bar]],55),""),UhsSimplifiedCandidates[[#This Row],[Minimum pressure bar]])</f>
        <v/>
      </c>
      <c r="M55" s="4"/>
      <c r="N55" s="3" t="s">
        <v>137</v>
      </c>
    </row>
    <row r="56" spans="1:14" ht="58.05" customHeight="1">
      <c r="A56" s="2" t="s">
        <v>13</v>
      </c>
      <c r="B56" s="3" t="s">
        <v>138</v>
      </c>
      <c r="C56" s="2" t="s">
        <v>54</v>
      </c>
      <c r="D56" s="4">
        <v>1235.2760000000001</v>
      </c>
      <c r="E56" s="4">
        <v>435</v>
      </c>
      <c r="F56" s="4"/>
      <c r="G56" s="5"/>
      <c r="H56" s="5"/>
      <c r="I56" s="4">
        <v>400</v>
      </c>
      <c r="J56" s="4"/>
      <c r="K56" s="4">
        <v>23</v>
      </c>
      <c r="L56" s="4">
        <f>IF(UhsSimplifiedCandidates[[#This Row],[Minimum pressure bar]]&lt;1,IF(UhsSimplifiedCandidates[[#This Row],[Maximum pressure bar]]&gt;55,MAX(UhsSimplifiedCandidates[[#This Row],[Minimum pressure bar]],55),""),UhsSimplifiedCandidates[[#This Row],[Minimum pressure bar]])</f>
        <v>23</v>
      </c>
      <c r="M56" s="4">
        <v>39</v>
      </c>
      <c r="N56" s="3" t="s">
        <v>139</v>
      </c>
    </row>
    <row r="57" spans="1:14" ht="58.05" customHeight="1">
      <c r="A57" s="2" t="s">
        <v>13</v>
      </c>
      <c r="B57" s="3" t="s">
        <v>140</v>
      </c>
      <c r="C57" s="2" t="s">
        <v>41</v>
      </c>
      <c r="D57" s="4">
        <v>269.863</v>
      </c>
      <c r="E57" s="4">
        <v>95.031582909999997</v>
      </c>
      <c r="F57" s="4">
        <v>0.84450000000000003</v>
      </c>
      <c r="G57" s="5"/>
      <c r="H57" s="5"/>
      <c r="I57" s="4">
        <v>650</v>
      </c>
      <c r="J57" s="4"/>
      <c r="K57" s="4">
        <v>45</v>
      </c>
      <c r="L57" s="4">
        <f>IF(UhsSimplifiedCandidates[[#This Row],[Minimum pressure bar]]&lt;1,IF(UhsSimplifiedCandidates[[#This Row],[Maximum pressure bar]]&gt;55,MAX(UhsSimplifiedCandidates[[#This Row],[Minimum pressure bar]],55),""),UhsSimplifiedCandidates[[#This Row],[Minimum pressure bar]])</f>
        <v>45</v>
      </c>
      <c r="M57" s="4">
        <v>73</v>
      </c>
      <c r="N57" s="3" t="s">
        <v>141</v>
      </c>
    </row>
    <row r="58" spans="1:14" ht="58.05" customHeight="1">
      <c r="A58" s="2" t="s">
        <v>13</v>
      </c>
      <c r="B58" s="3" t="s">
        <v>142</v>
      </c>
      <c r="C58" s="2" t="s">
        <v>76</v>
      </c>
      <c r="D58" s="4"/>
      <c r="E58" s="4"/>
      <c r="F58" s="4">
        <v>20.1129</v>
      </c>
      <c r="G58" s="5"/>
      <c r="H58" s="5"/>
      <c r="I58" s="4"/>
      <c r="J58" s="4"/>
      <c r="K58" s="4"/>
      <c r="L58" s="4" t="str">
        <f>IF(UhsSimplifiedCandidates[[#This Row],[Minimum pressure bar]]&lt;1,IF(UhsSimplifiedCandidates[[#This Row],[Maximum pressure bar]]&gt;55,MAX(UhsSimplifiedCandidates[[#This Row],[Minimum pressure bar]],55),""),UhsSimplifiedCandidates[[#This Row],[Minimum pressure bar]])</f>
        <v/>
      </c>
      <c r="M58" s="4"/>
      <c r="N58" s="3" t="s">
        <v>143</v>
      </c>
    </row>
    <row r="59" spans="1:14" ht="58.05" customHeight="1">
      <c r="A59" s="2" t="s">
        <v>13</v>
      </c>
      <c r="B59" s="3" t="s">
        <v>144</v>
      </c>
      <c r="C59" s="2" t="s">
        <v>15</v>
      </c>
      <c r="D59" s="4">
        <v>1211.17</v>
      </c>
      <c r="E59" s="4">
        <v>426.51079473999999</v>
      </c>
      <c r="F59" s="4">
        <v>4.59</v>
      </c>
      <c r="G59" s="5"/>
      <c r="H59" s="5"/>
      <c r="I59" s="4">
        <v>770</v>
      </c>
      <c r="J59" s="4"/>
      <c r="K59" s="4">
        <v>55</v>
      </c>
      <c r="L59" s="4">
        <f>IF(UhsSimplifiedCandidates[[#This Row],[Minimum pressure bar]]&lt;1,IF(UhsSimplifiedCandidates[[#This Row],[Maximum pressure bar]]&gt;55,MAX(UhsSimplifiedCandidates[[#This Row],[Minimum pressure bar]],55),""),UhsSimplifiedCandidates[[#This Row],[Minimum pressure bar]])</f>
        <v>55</v>
      </c>
      <c r="M59" s="4">
        <v>75</v>
      </c>
      <c r="N59" s="3" t="s">
        <v>145</v>
      </c>
    </row>
    <row r="60" spans="1:14" ht="58.05" customHeight="1">
      <c r="A60" s="2" t="s">
        <v>13</v>
      </c>
      <c r="B60" s="3" t="s">
        <v>146</v>
      </c>
      <c r="C60" s="2" t="s">
        <v>54</v>
      </c>
      <c r="D60" s="4">
        <v>1196.713</v>
      </c>
      <c r="E60" s="4">
        <v>421.41981707999997</v>
      </c>
      <c r="F60" s="4"/>
      <c r="G60" s="5"/>
      <c r="H60" s="5"/>
      <c r="I60" s="4">
        <v>400</v>
      </c>
      <c r="J60" s="4"/>
      <c r="K60" s="4">
        <v>23</v>
      </c>
      <c r="L60" s="4">
        <f>IF(UhsSimplifiedCandidates[[#This Row],[Minimum pressure bar]]&lt;1,IF(UhsSimplifiedCandidates[[#This Row],[Maximum pressure bar]]&gt;55,MAX(UhsSimplifiedCandidates[[#This Row],[Minimum pressure bar]],55),""),UhsSimplifiedCandidates[[#This Row],[Minimum pressure bar]])</f>
        <v>23</v>
      </c>
      <c r="M60" s="4">
        <v>39</v>
      </c>
      <c r="N60" s="3" t="s">
        <v>147</v>
      </c>
    </row>
    <row r="61" spans="1:14" ht="58.05" customHeight="1">
      <c r="A61" s="2" t="s">
        <v>13</v>
      </c>
      <c r="B61" s="3" t="s">
        <v>148</v>
      </c>
      <c r="C61" s="2" t="s">
        <v>54</v>
      </c>
      <c r="D61" s="4">
        <v>81.540999999999997</v>
      </c>
      <c r="E61" s="4">
        <v>28.714600000000001</v>
      </c>
      <c r="F61" s="4"/>
      <c r="G61" s="5"/>
      <c r="H61" s="5"/>
      <c r="I61" s="4">
        <v>1270</v>
      </c>
      <c r="J61" s="4"/>
      <c r="K61" s="4">
        <v>70</v>
      </c>
      <c r="L61" s="4">
        <f>IF(UhsSimplifiedCandidates[[#This Row],[Minimum pressure bar]]&lt;1,IF(UhsSimplifiedCandidates[[#This Row],[Maximum pressure bar]]&gt;55,MAX(UhsSimplifiedCandidates[[#This Row],[Minimum pressure bar]],55),""),UhsSimplifiedCandidates[[#This Row],[Minimum pressure bar]])</f>
        <v>70</v>
      </c>
      <c r="M61" s="4">
        <v>150</v>
      </c>
      <c r="N61" s="3" t="s">
        <v>149</v>
      </c>
    </row>
    <row r="62" spans="1:14" ht="58.05" customHeight="1">
      <c r="A62" s="2" t="s">
        <v>13</v>
      </c>
      <c r="B62" s="3" t="s">
        <v>150</v>
      </c>
      <c r="C62" s="2" t="s">
        <v>24</v>
      </c>
      <c r="D62" s="4"/>
      <c r="E62" s="4"/>
      <c r="F62" s="4">
        <v>3.15455</v>
      </c>
      <c r="G62" s="5"/>
      <c r="H62" s="5"/>
      <c r="I62" s="4"/>
      <c r="J62" s="4"/>
      <c r="K62" s="4"/>
      <c r="L62" s="4" t="str">
        <f>IF(UhsSimplifiedCandidates[[#This Row],[Minimum pressure bar]]&lt;1,IF(UhsSimplifiedCandidates[[#This Row],[Maximum pressure bar]]&gt;55,MAX(UhsSimplifiedCandidates[[#This Row],[Minimum pressure bar]],55),""),UhsSimplifiedCandidates[[#This Row],[Minimum pressure bar]])</f>
        <v/>
      </c>
      <c r="M62" s="4"/>
      <c r="N62" s="3" t="s">
        <v>151</v>
      </c>
    </row>
    <row r="63" spans="1:14" ht="58.05" customHeight="1">
      <c r="A63" s="2" t="s">
        <v>13</v>
      </c>
      <c r="B63" s="3" t="s">
        <v>152</v>
      </c>
      <c r="C63" s="2" t="s">
        <v>21</v>
      </c>
      <c r="D63" s="4">
        <v>2413.759</v>
      </c>
      <c r="E63" s="4">
        <v>850</v>
      </c>
      <c r="F63" s="4">
        <v>9.89</v>
      </c>
      <c r="G63" s="5"/>
      <c r="H63" s="5"/>
      <c r="I63" s="4">
        <v>1550</v>
      </c>
      <c r="J63" s="4"/>
      <c r="K63" s="4">
        <v>70</v>
      </c>
      <c r="L63" s="4">
        <f>IF(UhsSimplifiedCandidates[[#This Row],[Minimum pressure bar]]&lt;1,IF(UhsSimplifiedCandidates[[#This Row],[Maximum pressure bar]]&gt;55,MAX(UhsSimplifiedCandidates[[#This Row],[Minimum pressure bar]],55),""),UhsSimplifiedCandidates[[#This Row],[Minimum pressure bar]])</f>
        <v>70</v>
      </c>
      <c r="M63" s="4">
        <v>198</v>
      </c>
      <c r="N63" s="3" t="s">
        <v>153</v>
      </c>
    </row>
    <row r="64" spans="1:14" ht="58.05" customHeight="1">
      <c r="A64" s="2" t="s">
        <v>13</v>
      </c>
      <c r="B64" s="3" t="s">
        <v>154</v>
      </c>
      <c r="C64" s="2" t="s">
        <v>54</v>
      </c>
      <c r="D64" s="4"/>
      <c r="E64" s="4"/>
      <c r="F64" s="4">
        <v>3.7044000000000001</v>
      </c>
      <c r="G64" s="5"/>
      <c r="H64" s="5"/>
      <c r="I64" s="4"/>
      <c r="J64" s="4"/>
      <c r="K64" s="4"/>
      <c r="L64" s="4" t="str">
        <f>IF(UhsSimplifiedCandidates[[#This Row],[Minimum pressure bar]]&lt;1,IF(UhsSimplifiedCandidates[[#This Row],[Maximum pressure bar]]&gt;55,MAX(UhsSimplifiedCandidates[[#This Row],[Minimum pressure bar]],55),""),UhsSimplifiedCandidates[[#This Row],[Minimum pressure bar]])</f>
        <v/>
      </c>
      <c r="M64" s="4"/>
      <c r="N64" s="3" t="s">
        <v>155</v>
      </c>
    </row>
    <row r="65" spans="1:14" ht="58.05" customHeight="1">
      <c r="A65" s="2" t="s">
        <v>13</v>
      </c>
      <c r="B65" s="3" t="s">
        <v>156</v>
      </c>
      <c r="C65" s="2" t="s">
        <v>24</v>
      </c>
      <c r="D65" s="4">
        <v>1046.575</v>
      </c>
      <c r="E65" s="4">
        <v>368.54907135000002</v>
      </c>
      <c r="F65" s="4">
        <v>3.8519999999999999</v>
      </c>
      <c r="G65" s="5"/>
      <c r="H65" s="5"/>
      <c r="I65" s="4">
        <v>1230</v>
      </c>
      <c r="J65" s="4"/>
      <c r="K65" s="4">
        <v>65</v>
      </c>
      <c r="L65" s="4">
        <f>IF(UhsSimplifiedCandidates[[#This Row],[Minimum pressure bar]]&lt;1,IF(UhsSimplifiedCandidates[[#This Row],[Maximum pressure bar]]&gt;55,MAX(UhsSimplifiedCandidates[[#This Row],[Minimum pressure bar]],55),""),UhsSimplifiedCandidates[[#This Row],[Minimum pressure bar]])</f>
        <v>65</v>
      </c>
      <c r="M65" s="4">
        <v>80</v>
      </c>
      <c r="N65" s="3" t="s">
        <v>157</v>
      </c>
    </row>
    <row r="66" spans="1:14" ht="58.05" customHeight="1">
      <c r="A66" s="2" t="s">
        <v>13</v>
      </c>
      <c r="B66" s="3" t="s">
        <v>158</v>
      </c>
      <c r="C66" s="2" t="s">
        <v>41</v>
      </c>
      <c r="D66" s="4">
        <v>3533.9160000000002</v>
      </c>
      <c r="E66" s="4">
        <v>1244.4612047999999</v>
      </c>
      <c r="F66" s="4">
        <v>14.728999999999999</v>
      </c>
      <c r="G66" s="5"/>
      <c r="H66" s="5"/>
      <c r="I66" s="4">
        <v>1700</v>
      </c>
      <c r="J66" s="4"/>
      <c r="K66" s="4">
        <v>65</v>
      </c>
      <c r="L66" s="4">
        <f>IF(UhsSimplifiedCandidates[[#This Row],[Minimum pressure bar]]&lt;1,IF(UhsSimplifiedCandidates[[#This Row],[Maximum pressure bar]]&gt;55,MAX(UhsSimplifiedCandidates[[#This Row],[Minimum pressure bar]],55),""),UhsSimplifiedCandidates[[#This Row],[Minimum pressure bar]])</f>
        <v>65</v>
      </c>
      <c r="M66" s="4">
        <v>90</v>
      </c>
      <c r="N66" s="3" t="s">
        <v>159</v>
      </c>
    </row>
    <row r="67" spans="1:14" ht="58.05" customHeight="1">
      <c r="A67" s="2" t="s">
        <v>13</v>
      </c>
      <c r="B67" s="3" t="s">
        <v>160</v>
      </c>
      <c r="C67" s="2" t="s">
        <v>21</v>
      </c>
      <c r="D67" s="4">
        <v>1103.251</v>
      </c>
      <c r="E67" s="4">
        <v>388.50758931000001</v>
      </c>
      <c r="F67" s="4">
        <v>4.16465</v>
      </c>
      <c r="G67" s="5"/>
      <c r="H67" s="5"/>
      <c r="I67" s="4">
        <v>2930</v>
      </c>
      <c r="J67" s="4"/>
      <c r="K67" s="4"/>
      <c r="L67" s="4" t="str">
        <f>IF(UhsSimplifiedCandidates[[#This Row],[Minimum pressure bar]]&lt;1,IF(UhsSimplifiedCandidates[[#This Row],[Maximum pressure bar]]&gt;55,MAX(UhsSimplifiedCandidates[[#This Row],[Minimum pressure bar]],55),""),UhsSimplifiedCandidates[[#This Row],[Minimum pressure bar]])</f>
        <v/>
      </c>
      <c r="M67" s="4"/>
      <c r="N67" s="3" t="s">
        <v>161</v>
      </c>
    </row>
    <row r="68" spans="1:14" ht="58.05" customHeight="1">
      <c r="A68" s="2" t="s">
        <v>13</v>
      </c>
      <c r="B68" s="3" t="s">
        <v>162</v>
      </c>
      <c r="C68" s="2" t="s">
        <v>131</v>
      </c>
      <c r="D68" s="4"/>
      <c r="E68" s="4"/>
      <c r="F68" s="4"/>
      <c r="G68" s="5"/>
      <c r="H68" s="5"/>
      <c r="I68" s="4">
        <v>2500</v>
      </c>
      <c r="J68" s="4">
        <v>23.8</v>
      </c>
      <c r="K68" s="4">
        <v>132</v>
      </c>
      <c r="L68" s="4">
        <f>IF(UhsSimplifiedCandidates[[#This Row],[Minimum pressure bar]]&lt;1,IF(UhsSimplifiedCandidates[[#This Row],[Maximum pressure bar]]&gt;55,MAX(UhsSimplifiedCandidates[[#This Row],[Minimum pressure bar]],55),""),UhsSimplifiedCandidates[[#This Row],[Minimum pressure bar]])</f>
        <v>132</v>
      </c>
      <c r="M68" s="4">
        <v>280</v>
      </c>
      <c r="N68" s="3" t="s">
        <v>163</v>
      </c>
    </row>
    <row r="69" spans="1:14" ht="58.05" customHeight="1">
      <c r="A69" s="2" t="s">
        <v>13</v>
      </c>
      <c r="B69" s="3" t="s">
        <v>164</v>
      </c>
      <c r="C69" s="2" t="s">
        <v>76</v>
      </c>
      <c r="D69" s="4">
        <v>6165.2650000000003</v>
      </c>
      <c r="E69" s="4">
        <v>2171.0851323500001</v>
      </c>
      <c r="F69" s="4">
        <v>23.45</v>
      </c>
      <c r="G69" s="5"/>
      <c r="H69" s="5"/>
      <c r="I69" s="4">
        <v>1850</v>
      </c>
      <c r="J69" s="4">
        <v>60</v>
      </c>
      <c r="K69" s="4">
        <v>65</v>
      </c>
      <c r="L69" s="4">
        <f>IF(UhsSimplifiedCandidates[[#This Row],[Minimum pressure bar]]&lt;1,IF(UhsSimplifiedCandidates[[#This Row],[Maximum pressure bar]]&gt;55,MAX(UhsSimplifiedCandidates[[#This Row],[Minimum pressure bar]],55),""),UhsSimplifiedCandidates[[#This Row],[Minimum pressure bar]])</f>
        <v>65</v>
      </c>
      <c r="M69" s="4">
        <v>140</v>
      </c>
      <c r="N69" s="3" t="s">
        <v>165</v>
      </c>
    </row>
    <row r="70" spans="1:14" ht="58.05" customHeight="1">
      <c r="A70" s="2" t="s">
        <v>166</v>
      </c>
      <c r="B70" s="3" t="s">
        <v>167</v>
      </c>
      <c r="C70" s="2" t="s">
        <v>168</v>
      </c>
      <c r="D70" s="4"/>
      <c r="E70" s="4"/>
      <c r="F70" s="4"/>
      <c r="G70" s="5">
        <v>100000</v>
      </c>
      <c r="H70" s="5">
        <v>100000</v>
      </c>
      <c r="I70" s="4"/>
      <c r="J70" s="4"/>
      <c r="K70" s="4"/>
      <c r="L70" s="4">
        <f>IF(UhsSimplifiedCandidates[[#This Row],[Minimum pressure bar]]&lt;1,IF(UhsSimplifiedCandidates[[#This Row],[Maximum pressure bar]]&gt;55,MAX(UhsSimplifiedCandidates[[#This Row],[Minimum pressure bar]],55),""),UhsSimplifiedCandidates[[#This Row],[Minimum pressure bar]])</f>
        <v>55</v>
      </c>
      <c r="M70" s="4">
        <v>250</v>
      </c>
      <c r="N70" s="3" t="s">
        <v>169</v>
      </c>
    </row>
    <row r="71" spans="1:14" ht="58.05" customHeight="1">
      <c r="A71" s="2" t="s">
        <v>166</v>
      </c>
      <c r="B71" s="3" t="s">
        <v>170</v>
      </c>
      <c r="C71" s="2" t="s">
        <v>171</v>
      </c>
      <c r="D71" s="4"/>
      <c r="E71" s="4"/>
      <c r="F71" s="4"/>
      <c r="G71" s="5">
        <v>100</v>
      </c>
      <c r="H71" s="5">
        <v>100</v>
      </c>
      <c r="I71" s="4">
        <v>30</v>
      </c>
      <c r="J71" s="4"/>
      <c r="K71" s="4"/>
      <c r="L71" s="4">
        <f>IF(UhsSimplifiedCandidates[[#This Row],[Minimum pressure bar]]&lt;1,IF(UhsSimplifiedCandidates[[#This Row],[Maximum pressure bar]]&gt;55,MAX(UhsSimplifiedCandidates[[#This Row],[Minimum pressure bar]],55),""),UhsSimplifiedCandidates[[#This Row],[Minimum pressure bar]])</f>
        <v>55</v>
      </c>
      <c r="M71" s="4">
        <v>250</v>
      </c>
      <c r="N71" s="3" t="s">
        <v>172</v>
      </c>
    </row>
    <row r="72" spans="1:14" ht="58.05" customHeight="1">
      <c r="A72" s="2" t="s">
        <v>166</v>
      </c>
      <c r="B72" s="3" t="s">
        <v>173</v>
      </c>
      <c r="C72" s="2" t="s">
        <v>168</v>
      </c>
      <c r="D72" s="4"/>
      <c r="E72" s="4"/>
      <c r="F72" s="4"/>
      <c r="G72" s="5">
        <v>100000</v>
      </c>
      <c r="H72" s="5">
        <v>120000</v>
      </c>
      <c r="I72" s="4"/>
      <c r="J72" s="4"/>
      <c r="K72" s="4"/>
      <c r="L72" s="4" t="str">
        <f>IF(UhsSimplifiedCandidates[[#This Row],[Minimum pressure bar]]&lt;1,IF(UhsSimplifiedCandidates[[#This Row],[Maximum pressure bar]]&gt;55,MAX(UhsSimplifiedCandidates[[#This Row],[Minimum pressure bar]],55),""),UhsSimplifiedCandidates[[#This Row],[Minimum pressure bar]])</f>
        <v/>
      </c>
      <c r="M72" s="4"/>
      <c r="N72" s="3" t="s">
        <v>174</v>
      </c>
    </row>
    <row r="73" spans="1:14" ht="58.05" customHeight="1">
      <c r="A73" s="2" t="s">
        <v>166</v>
      </c>
      <c r="B73" s="3" t="s">
        <v>175</v>
      </c>
      <c r="C73" s="2" t="s">
        <v>168</v>
      </c>
      <c r="D73" s="4"/>
      <c r="E73" s="4"/>
      <c r="F73" s="4"/>
      <c r="G73" s="5">
        <v>50000</v>
      </c>
      <c r="H73" s="5">
        <v>150000</v>
      </c>
      <c r="I73" s="4"/>
      <c r="J73" s="4"/>
      <c r="K73" s="4"/>
      <c r="L73" s="4" t="str">
        <f>IF(UhsSimplifiedCandidates[[#This Row],[Minimum pressure bar]]&lt;1,IF(UhsSimplifiedCandidates[[#This Row],[Maximum pressure bar]]&gt;55,MAX(UhsSimplifiedCandidates[[#This Row],[Minimum pressure bar]],55),""),UhsSimplifiedCandidates[[#This Row],[Minimum pressure bar]])</f>
        <v/>
      </c>
      <c r="M73" s="4"/>
      <c r="N73" s="3" t="s">
        <v>176</v>
      </c>
    </row>
    <row r="74" spans="1:14" ht="58.05" customHeight="1">
      <c r="A74" s="2" t="s">
        <v>166</v>
      </c>
      <c r="B74" s="3" t="s">
        <v>177</v>
      </c>
      <c r="C74" s="2" t="s">
        <v>171</v>
      </c>
      <c r="D74" s="4">
        <v>21.331</v>
      </c>
      <c r="E74" s="4">
        <v>9.8991232199999999</v>
      </c>
      <c r="F74" s="4">
        <v>0.10340000000000001</v>
      </c>
      <c r="G74" s="5">
        <v>40000</v>
      </c>
      <c r="H74" s="5">
        <v>40000</v>
      </c>
      <c r="I74" s="4">
        <v>115</v>
      </c>
      <c r="J74" s="4"/>
      <c r="K74" s="4">
        <v>10</v>
      </c>
      <c r="L74" s="4">
        <f>IF(UhsSimplifiedCandidates[[#This Row],[Minimum pressure bar]]&lt;1,IF(UhsSimplifiedCandidates[[#This Row],[Maximum pressure bar]]&gt;55,MAX(UhsSimplifiedCandidates[[#This Row],[Minimum pressure bar]],55),""),UhsSimplifiedCandidates[[#This Row],[Minimum pressure bar]])</f>
        <v>10</v>
      </c>
      <c r="M74" s="4">
        <v>230</v>
      </c>
      <c r="N74" s="3" t="s">
        <v>178</v>
      </c>
    </row>
    <row r="75" spans="1:14" ht="58.05" customHeight="1">
      <c r="A75" s="2" t="s">
        <v>166</v>
      </c>
      <c r="B75" s="3" t="s">
        <v>179</v>
      </c>
      <c r="C75" s="2" t="s">
        <v>180</v>
      </c>
      <c r="D75" s="4"/>
      <c r="E75" s="4">
        <v>74</v>
      </c>
      <c r="F75" s="4"/>
      <c r="G75" s="5">
        <v>80000</v>
      </c>
      <c r="H75" s="5">
        <v>80000</v>
      </c>
      <c r="I75" s="4"/>
      <c r="J75" s="4"/>
      <c r="K75" s="4">
        <v>38</v>
      </c>
      <c r="L75" s="4">
        <f>IF(UhsSimplifiedCandidates[[#This Row],[Minimum pressure bar]]&lt;1,IF(UhsSimplifiedCandidates[[#This Row],[Maximum pressure bar]]&gt;55,MAX(UhsSimplifiedCandidates[[#This Row],[Minimum pressure bar]],55),""),UhsSimplifiedCandidates[[#This Row],[Minimum pressure bar]])</f>
        <v>38</v>
      </c>
      <c r="M75" s="4">
        <v>230</v>
      </c>
      <c r="N75" s="3" t="s">
        <v>181</v>
      </c>
    </row>
    <row r="76" spans="1:14" ht="58.05" customHeight="1">
      <c r="A76" s="2" t="s">
        <v>182</v>
      </c>
      <c r="B76" s="3" t="s">
        <v>183</v>
      </c>
      <c r="C76" s="2" t="s">
        <v>184</v>
      </c>
      <c r="D76" s="4">
        <v>3577.2869999999998</v>
      </c>
      <c r="E76" s="4">
        <v>1259.73413777</v>
      </c>
      <c r="F76" s="4"/>
      <c r="G76" s="5"/>
      <c r="H76" s="5"/>
      <c r="I76" s="4">
        <v>910</v>
      </c>
      <c r="J76" s="4"/>
      <c r="K76" s="4"/>
      <c r="L76" s="4">
        <f>IF(UhsSimplifiedCandidates[[#This Row],[Minimum pressure bar]]&lt;1,IF(UhsSimplifiedCandidates[[#This Row],[Maximum pressure bar]]&gt;55,MAX(UhsSimplifiedCandidates[[#This Row],[Minimum pressure bar]],55),""),UhsSimplifiedCandidates[[#This Row],[Minimum pressure bar]])</f>
        <v>55</v>
      </c>
      <c r="M76" s="4">
        <v>130</v>
      </c>
      <c r="N76" s="3" t="s">
        <v>185</v>
      </c>
    </row>
    <row r="77" spans="1:14" ht="58.05" customHeight="1">
      <c r="A77" s="2" t="s">
        <v>182</v>
      </c>
      <c r="B77" s="3" t="s">
        <v>186</v>
      </c>
      <c r="C77" s="2" t="s">
        <v>184</v>
      </c>
      <c r="D77" s="4">
        <v>4470.9399999999996</v>
      </c>
      <c r="E77" s="4">
        <v>1574.4319788</v>
      </c>
      <c r="F77" s="4"/>
      <c r="G77" s="5"/>
      <c r="H77" s="5"/>
      <c r="I77" s="4">
        <v>470</v>
      </c>
      <c r="J77" s="4"/>
      <c r="K77" s="4"/>
      <c r="L77" s="4">
        <f>IF(UhsSimplifiedCandidates[[#This Row],[Minimum pressure bar]]&lt;1,IF(UhsSimplifiedCandidates[[#This Row],[Maximum pressure bar]]&gt;55,MAX(UhsSimplifiedCandidates[[#This Row],[Minimum pressure bar]],55),""),UhsSimplifiedCandidates[[#This Row],[Minimum pressure bar]])</f>
        <v>55</v>
      </c>
      <c r="M77" s="4">
        <v>61</v>
      </c>
      <c r="N77" s="3" t="s">
        <v>187</v>
      </c>
    </row>
    <row r="78" spans="1:14" ht="58.05" customHeight="1">
      <c r="A78" s="2" t="s">
        <v>182</v>
      </c>
      <c r="B78" s="3" t="s">
        <v>188</v>
      </c>
      <c r="C78" s="2" t="s">
        <v>184</v>
      </c>
      <c r="D78" s="4">
        <v>21.417999999999999</v>
      </c>
      <c r="E78" s="4">
        <v>7.5421891199999997</v>
      </c>
      <c r="F78" s="4"/>
      <c r="G78" s="5"/>
      <c r="H78" s="5"/>
      <c r="I78" s="4">
        <v>1086</v>
      </c>
      <c r="J78" s="4"/>
      <c r="K78" s="4"/>
      <c r="L78" s="4">
        <f>IF(UhsSimplifiedCandidates[[#This Row],[Minimum pressure bar]]&lt;1,IF(UhsSimplifiedCandidates[[#This Row],[Maximum pressure bar]]&gt;55,MAX(UhsSimplifiedCandidates[[#This Row],[Minimum pressure bar]],55),""),UhsSimplifiedCandidates[[#This Row],[Minimum pressure bar]])</f>
        <v>55</v>
      </c>
      <c r="M78" s="4">
        <v>155</v>
      </c>
      <c r="N78" s="3" t="s">
        <v>189</v>
      </c>
    </row>
    <row r="79" spans="1:14" ht="58.05" customHeight="1">
      <c r="A79" s="2" t="s">
        <v>182</v>
      </c>
      <c r="B79" s="3" t="s">
        <v>190</v>
      </c>
      <c r="C79" s="2" t="s">
        <v>21</v>
      </c>
      <c r="D79" s="4">
        <v>73.891000000000005</v>
      </c>
      <c r="E79" s="4">
        <v>26.020552460000001</v>
      </c>
      <c r="F79" s="4"/>
      <c r="G79" s="5"/>
      <c r="H79" s="5"/>
      <c r="I79" s="4">
        <v>500</v>
      </c>
      <c r="J79" s="4"/>
      <c r="K79" s="4">
        <v>26</v>
      </c>
      <c r="L79" s="4">
        <f>IF(UhsSimplifiedCandidates[[#This Row],[Minimum pressure bar]]&lt;1,IF(UhsSimplifiedCandidates[[#This Row],[Maximum pressure bar]]&gt;55,MAX(UhsSimplifiedCandidates[[#This Row],[Minimum pressure bar]],55),""),UhsSimplifiedCandidates[[#This Row],[Minimum pressure bar]])</f>
        <v>26</v>
      </c>
      <c r="M79" s="4">
        <v>46</v>
      </c>
      <c r="N79" s="3" t="s">
        <v>191</v>
      </c>
    </row>
    <row r="80" spans="1:14" ht="58.05" customHeight="1">
      <c r="A80" s="2" t="s">
        <v>182</v>
      </c>
      <c r="B80" s="3" t="s">
        <v>192</v>
      </c>
      <c r="C80" s="2" t="s">
        <v>21</v>
      </c>
      <c r="D80" s="4">
        <v>237.73599999999999</v>
      </c>
      <c r="E80" s="4">
        <v>83.71829923</v>
      </c>
      <c r="F80" s="4">
        <v>0.9677</v>
      </c>
      <c r="G80" s="5"/>
      <c r="H80" s="5"/>
      <c r="I80" s="4">
        <v>670</v>
      </c>
      <c r="J80" s="4"/>
      <c r="K80" s="4">
        <v>45</v>
      </c>
      <c r="L80" s="4">
        <f>IF(UhsSimplifiedCandidates[[#This Row],[Minimum pressure bar]]&lt;1,IF(UhsSimplifiedCandidates[[#This Row],[Maximum pressure bar]]&gt;55,MAX(UhsSimplifiedCandidates[[#This Row],[Minimum pressure bar]],55),""),UhsSimplifiedCandidates[[#This Row],[Minimum pressure bar]])</f>
        <v>45</v>
      </c>
      <c r="M80" s="4">
        <v>69</v>
      </c>
      <c r="N80" s="3" t="s">
        <v>193</v>
      </c>
    </row>
    <row r="81" spans="1:14" ht="58.05" customHeight="1">
      <c r="A81" s="2" t="s">
        <v>182</v>
      </c>
      <c r="B81" s="3" t="s">
        <v>194</v>
      </c>
      <c r="C81" s="2" t="s">
        <v>184</v>
      </c>
      <c r="D81" s="4">
        <v>8.032</v>
      </c>
      <c r="E81" s="4">
        <v>2.8283209199999999</v>
      </c>
      <c r="F81" s="4"/>
      <c r="G81" s="5"/>
      <c r="H81" s="5"/>
      <c r="I81" s="4">
        <v>850</v>
      </c>
      <c r="J81" s="4"/>
      <c r="K81" s="4"/>
      <c r="L81" s="4">
        <f>IF(UhsSimplifiedCandidates[[#This Row],[Minimum pressure bar]]&lt;1,IF(UhsSimplifiedCandidates[[#This Row],[Maximum pressure bar]]&gt;55,MAX(UhsSimplifiedCandidates[[#This Row],[Minimum pressure bar]],55),""),UhsSimplifiedCandidates[[#This Row],[Minimum pressure bar]])</f>
        <v>55</v>
      </c>
      <c r="M81" s="4">
        <v>123.5</v>
      </c>
      <c r="N81" s="3" t="s">
        <v>195</v>
      </c>
    </row>
    <row r="82" spans="1:14" ht="58.05" customHeight="1">
      <c r="A82" s="2" t="s">
        <v>182</v>
      </c>
      <c r="B82" s="3" t="s">
        <v>196</v>
      </c>
      <c r="C82" s="2" t="s">
        <v>184</v>
      </c>
      <c r="D82" s="4">
        <v>3507.1439999999998</v>
      </c>
      <c r="E82" s="4">
        <v>1235.0334683999999</v>
      </c>
      <c r="F82" s="4"/>
      <c r="G82" s="5"/>
      <c r="H82" s="5"/>
      <c r="I82" s="4">
        <v>720</v>
      </c>
      <c r="J82" s="4"/>
      <c r="K82" s="4"/>
      <c r="L82" s="4">
        <f>IF(UhsSimplifiedCandidates[[#This Row],[Minimum pressure bar]]&lt;1,IF(UhsSimplifiedCandidates[[#This Row],[Maximum pressure bar]]&gt;55,MAX(UhsSimplifiedCandidates[[#This Row],[Minimum pressure bar]],55),""),UhsSimplifiedCandidates[[#This Row],[Minimum pressure bar]])</f>
        <v>55</v>
      </c>
      <c r="M82" s="4">
        <v>106</v>
      </c>
      <c r="N82" s="3" t="s">
        <v>197</v>
      </c>
    </row>
    <row r="83" spans="1:14" ht="58.05" customHeight="1">
      <c r="A83" s="2" t="s">
        <v>182</v>
      </c>
      <c r="B83" s="3" t="s">
        <v>198</v>
      </c>
      <c r="C83" s="2" t="s">
        <v>199</v>
      </c>
      <c r="D83" s="4">
        <v>242.02</v>
      </c>
      <c r="E83" s="4">
        <v>85.226737060000005</v>
      </c>
      <c r="F83" s="4"/>
      <c r="G83" s="5"/>
      <c r="H83" s="5"/>
      <c r="I83" s="4">
        <v>500</v>
      </c>
      <c r="J83" s="4"/>
      <c r="K83" s="4">
        <v>34</v>
      </c>
      <c r="L83" s="4">
        <f>IF(UhsSimplifiedCandidates[[#This Row],[Minimum pressure bar]]&lt;1,IF(UhsSimplifiedCandidates[[#This Row],[Maximum pressure bar]]&gt;55,MAX(UhsSimplifiedCandidates[[#This Row],[Minimum pressure bar]],55),""),UhsSimplifiedCandidates[[#This Row],[Minimum pressure bar]])</f>
        <v>34</v>
      </c>
      <c r="M83" s="4">
        <v>54</v>
      </c>
      <c r="N83" s="3" t="s">
        <v>200</v>
      </c>
    </row>
    <row r="84" spans="1:14" ht="58.05" customHeight="1">
      <c r="A84" s="2" t="s">
        <v>182</v>
      </c>
      <c r="B84" s="3" t="s">
        <v>201</v>
      </c>
      <c r="C84" s="2" t="s">
        <v>21</v>
      </c>
      <c r="D84" s="4">
        <v>208.97900000000001</v>
      </c>
      <c r="E84" s="4">
        <v>85</v>
      </c>
      <c r="F84" s="4"/>
      <c r="G84" s="5"/>
      <c r="H84" s="5"/>
      <c r="I84" s="4">
        <v>500</v>
      </c>
      <c r="J84" s="4"/>
      <c r="K84" s="4">
        <v>39</v>
      </c>
      <c r="L84" s="4">
        <f>IF(UhsSimplifiedCandidates[[#This Row],[Minimum pressure bar]]&lt;1,IF(UhsSimplifiedCandidates[[#This Row],[Maximum pressure bar]]&gt;55,MAX(UhsSimplifiedCandidates[[#This Row],[Minimum pressure bar]],55),""),UhsSimplifiedCandidates[[#This Row],[Minimum pressure bar]])</f>
        <v>39</v>
      </c>
      <c r="M84" s="4">
        <v>53</v>
      </c>
      <c r="N84" s="3" t="s">
        <v>202</v>
      </c>
    </row>
    <row r="85" spans="1:14" ht="58.05" customHeight="1">
      <c r="A85" s="2" t="s">
        <v>182</v>
      </c>
      <c r="B85" s="3" t="s">
        <v>203</v>
      </c>
      <c r="C85" s="2" t="s">
        <v>204</v>
      </c>
      <c r="D85" s="4"/>
      <c r="E85" s="4"/>
      <c r="F85" s="4">
        <v>24.86</v>
      </c>
      <c r="G85" s="5"/>
      <c r="H85" s="5"/>
      <c r="I85" s="4">
        <v>710</v>
      </c>
      <c r="J85" s="4"/>
      <c r="K85" s="4">
        <v>45</v>
      </c>
      <c r="L85" s="4">
        <f>IF(UhsSimplifiedCandidates[[#This Row],[Minimum pressure bar]]&lt;1,IF(UhsSimplifiedCandidates[[#This Row],[Maximum pressure bar]]&gt;55,MAX(UhsSimplifiedCandidates[[#This Row],[Minimum pressure bar]],55),""),UhsSimplifiedCandidates[[#This Row],[Minimum pressure bar]])</f>
        <v>45</v>
      </c>
      <c r="M85" s="4">
        <v>105</v>
      </c>
      <c r="N85" s="3" t="s">
        <v>205</v>
      </c>
    </row>
    <row r="86" spans="1:14" ht="58.05" customHeight="1">
      <c r="A86" s="2" t="s">
        <v>182</v>
      </c>
      <c r="B86" s="3" t="s">
        <v>206</v>
      </c>
      <c r="C86" s="2" t="s">
        <v>207</v>
      </c>
      <c r="D86" s="4">
        <v>3833.6170000000002</v>
      </c>
      <c r="E86" s="4">
        <v>1350</v>
      </c>
      <c r="F86" s="4"/>
      <c r="G86" s="5"/>
      <c r="H86" s="5"/>
      <c r="I86" s="4">
        <v>510</v>
      </c>
      <c r="J86" s="4"/>
      <c r="K86" s="4">
        <v>45</v>
      </c>
      <c r="L86" s="4">
        <f>IF(UhsSimplifiedCandidates[[#This Row],[Minimum pressure bar]]&lt;1,IF(UhsSimplifiedCandidates[[#This Row],[Maximum pressure bar]]&gt;55,MAX(UhsSimplifiedCandidates[[#This Row],[Minimum pressure bar]],55),""),UhsSimplifiedCandidates[[#This Row],[Minimum pressure bar]])</f>
        <v>45</v>
      </c>
      <c r="M86" s="4">
        <v>58</v>
      </c>
      <c r="N86" s="3" t="s">
        <v>208</v>
      </c>
    </row>
    <row r="87" spans="1:14" ht="58.05" customHeight="1">
      <c r="A87" s="2" t="s">
        <v>182</v>
      </c>
      <c r="B87" s="3" t="s">
        <v>209</v>
      </c>
      <c r="C87" s="2" t="s">
        <v>21</v>
      </c>
      <c r="D87" s="4"/>
      <c r="E87" s="4"/>
      <c r="F87" s="4"/>
      <c r="G87" s="5"/>
      <c r="H87" s="5"/>
      <c r="I87" s="4">
        <v>598.5</v>
      </c>
      <c r="J87" s="4"/>
      <c r="K87" s="4">
        <v>48</v>
      </c>
      <c r="L87" s="4">
        <f>IF(UhsSimplifiedCandidates[[#This Row],[Minimum pressure bar]]&lt;1,IF(UhsSimplifiedCandidates[[#This Row],[Maximum pressure bar]]&gt;55,MAX(UhsSimplifiedCandidates[[#This Row],[Minimum pressure bar]],55),""),UhsSimplifiedCandidates[[#This Row],[Minimum pressure bar]])</f>
        <v>48</v>
      </c>
      <c r="M87" s="4">
        <v>83</v>
      </c>
      <c r="N87" s="3" t="s">
        <v>210</v>
      </c>
    </row>
    <row r="88" spans="1:14" ht="58.05" customHeight="1">
      <c r="A88" s="2" t="s">
        <v>182</v>
      </c>
      <c r="B88" s="3" t="s">
        <v>211</v>
      </c>
      <c r="C88" s="2" t="s">
        <v>54</v>
      </c>
      <c r="D88" s="4">
        <v>425.95699999999999</v>
      </c>
      <c r="E88" s="4">
        <v>150</v>
      </c>
      <c r="F88" s="4"/>
      <c r="G88" s="5"/>
      <c r="H88" s="5"/>
      <c r="I88" s="4">
        <v>500</v>
      </c>
      <c r="J88" s="4"/>
      <c r="K88" s="4">
        <v>45</v>
      </c>
      <c r="L88" s="4">
        <f>IF(UhsSimplifiedCandidates[[#This Row],[Minimum pressure bar]]&lt;1,IF(UhsSimplifiedCandidates[[#This Row],[Maximum pressure bar]]&gt;55,MAX(UhsSimplifiedCandidates[[#This Row],[Minimum pressure bar]],55),""),UhsSimplifiedCandidates[[#This Row],[Minimum pressure bar]])</f>
        <v>45</v>
      </c>
      <c r="M88" s="4">
        <v>59</v>
      </c>
      <c r="N88" s="3" t="s">
        <v>212</v>
      </c>
    </row>
    <row r="89" spans="1:14" ht="58.05" customHeight="1">
      <c r="A89" s="2" t="s">
        <v>182</v>
      </c>
      <c r="B89" s="3" t="s">
        <v>213</v>
      </c>
      <c r="C89" s="2" t="s">
        <v>214</v>
      </c>
      <c r="D89" s="4">
        <v>2190.7600000000002</v>
      </c>
      <c r="E89" s="4">
        <v>771.47166961000005</v>
      </c>
      <c r="F89" s="4">
        <v>7.61</v>
      </c>
      <c r="G89" s="5"/>
      <c r="H89" s="5"/>
      <c r="I89" s="4">
        <v>1060</v>
      </c>
      <c r="J89" s="4"/>
      <c r="K89" s="4">
        <v>45</v>
      </c>
      <c r="L89" s="4">
        <f>IF(UhsSimplifiedCandidates[[#This Row],[Minimum pressure bar]]&lt;1,IF(UhsSimplifiedCandidates[[#This Row],[Maximum pressure bar]]&gt;55,MAX(UhsSimplifiedCandidates[[#This Row],[Minimum pressure bar]],55),""),UhsSimplifiedCandidates[[#This Row],[Minimum pressure bar]])</f>
        <v>45</v>
      </c>
      <c r="M89" s="4">
        <v>145</v>
      </c>
      <c r="N89" s="3" t="s">
        <v>215</v>
      </c>
    </row>
    <row r="90" spans="1:14" ht="58.05" customHeight="1">
      <c r="A90" s="2" t="s">
        <v>182</v>
      </c>
      <c r="B90" s="3" t="s">
        <v>216</v>
      </c>
      <c r="C90" s="2" t="s">
        <v>207</v>
      </c>
      <c r="D90" s="4">
        <v>93.751000000000005</v>
      </c>
      <c r="E90" s="4">
        <v>33.014200000000002</v>
      </c>
      <c r="F90" s="4"/>
      <c r="G90" s="5"/>
      <c r="H90" s="5"/>
      <c r="I90" s="4">
        <v>545</v>
      </c>
      <c r="J90" s="4"/>
      <c r="K90" s="4">
        <v>44</v>
      </c>
      <c r="L90" s="4">
        <f>IF(UhsSimplifiedCandidates[[#This Row],[Minimum pressure bar]]&lt;1,IF(UhsSimplifiedCandidates[[#This Row],[Maximum pressure bar]]&gt;55,MAX(UhsSimplifiedCandidates[[#This Row],[Minimum pressure bar]],55),""),UhsSimplifiedCandidates[[#This Row],[Minimum pressure bar]])</f>
        <v>44</v>
      </c>
      <c r="M90" s="4">
        <v>68</v>
      </c>
      <c r="N90" s="3" t="s">
        <v>217</v>
      </c>
    </row>
    <row r="91" spans="1:14" ht="58.05" customHeight="1">
      <c r="A91" s="2" t="s">
        <v>182</v>
      </c>
      <c r="B91" s="3" t="s">
        <v>218</v>
      </c>
      <c r="C91" s="2" t="s">
        <v>184</v>
      </c>
      <c r="D91" s="4">
        <v>1703.83</v>
      </c>
      <c r="E91" s="4">
        <v>600</v>
      </c>
      <c r="F91" s="4"/>
      <c r="G91" s="5"/>
      <c r="H91" s="5"/>
      <c r="I91" s="4">
        <v>470</v>
      </c>
      <c r="J91" s="4"/>
      <c r="K91" s="4"/>
      <c r="L91" s="4">
        <f>IF(UhsSimplifiedCandidates[[#This Row],[Minimum pressure bar]]&lt;1,IF(UhsSimplifiedCandidates[[#This Row],[Maximum pressure bar]]&gt;55,MAX(UhsSimplifiedCandidates[[#This Row],[Minimum pressure bar]],55),""),UhsSimplifiedCandidates[[#This Row],[Minimum pressure bar]])</f>
        <v>55</v>
      </c>
      <c r="M91" s="4">
        <v>69.5</v>
      </c>
      <c r="N91" s="3" t="s">
        <v>219</v>
      </c>
    </row>
    <row r="92" spans="1:14" ht="58.05" customHeight="1">
      <c r="A92" s="2" t="s">
        <v>182</v>
      </c>
      <c r="B92" s="3" t="s">
        <v>220</v>
      </c>
      <c r="C92" s="2" t="s">
        <v>21</v>
      </c>
      <c r="D92" s="4">
        <v>92.364000000000004</v>
      </c>
      <c r="E92" s="4">
        <v>32.525690580000003</v>
      </c>
      <c r="F92" s="4">
        <v>0.34499999999999997</v>
      </c>
      <c r="G92" s="5"/>
      <c r="H92" s="5"/>
      <c r="I92" s="4">
        <v>120</v>
      </c>
      <c r="J92" s="4"/>
      <c r="K92" s="4"/>
      <c r="L92" s="4" t="str">
        <f>IF(UhsSimplifiedCandidates[[#This Row],[Minimum pressure bar]]&lt;1,IF(UhsSimplifiedCandidates[[#This Row],[Maximum pressure bar]]&gt;55,MAX(UhsSimplifiedCandidates[[#This Row],[Minimum pressure bar]],55),""),UhsSimplifiedCandidates[[#This Row],[Minimum pressure bar]])</f>
        <v/>
      </c>
      <c r="M92" s="4"/>
      <c r="N92" s="3" t="s">
        <v>221</v>
      </c>
    </row>
    <row r="93" spans="1:14" ht="58.05" customHeight="1">
      <c r="A93" s="2" t="s">
        <v>182</v>
      </c>
      <c r="B93" s="3" t="s">
        <v>222</v>
      </c>
      <c r="C93" s="2" t="s">
        <v>223</v>
      </c>
      <c r="D93" s="4">
        <v>634.60299999999995</v>
      </c>
      <c r="E93" s="4">
        <v>370</v>
      </c>
      <c r="F93" s="4"/>
      <c r="G93" s="5"/>
      <c r="H93" s="5"/>
      <c r="I93" s="4">
        <v>1500</v>
      </c>
      <c r="J93" s="4"/>
      <c r="K93" s="4">
        <v>150</v>
      </c>
      <c r="L93" s="4">
        <f>IF(UhsSimplifiedCandidates[[#This Row],[Minimum pressure bar]]&lt;1,IF(UhsSimplifiedCandidates[[#This Row],[Maximum pressure bar]]&gt;55,MAX(UhsSimplifiedCandidates[[#This Row],[Minimum pressure bar]],55),""),UhsSimplifiedCandidates[[#This Row],[Minimum pressure bar]])</f>
        <v>150</v>
      </c>
      <c r="M93" s="4">
        <v>170</v>
      </c>
      <c r="N93" s="3" t="s">
        <v>224</v>
      </c>
    </row>
    <row r="94" spans="1:14" ht="58.05" customHeight="1">
      <c r="A94" s="2" t="s">
        <v>182</v>
      </c>
      <c r="B94" s="3" t="s">
        <v>225</v>
      </c>
      <c r="C94" s="2" t="s">
        <v>199</v>
      </c>
      <c r="D94" s="4">
        <v>383.36200000000002</v>
      </c>
      <c r="E94" s="4">
        <v>135</v>
      </c>
      <c r="F94" s="4"/>
      <c r="G94" s="5"/>
      <c r="H94" s="5"/>
      <c r="I94" s="4">
        <v>460</v>
      </c>
      <c r="J94" s="4"/>
      <c r="K94" s="4">
        <v>29</v>
      </c>
      <c r="L94" s="4">
        <f>IF(UhsSimplifiedCandidates[[#This Row],[Minimum pressure bar]]&lt;1,IF(UhsSimplifiedCandidates[[#This Row],[Maximum pressure bar]]&gt;55,MAX(UhsSimplifiedCandidates[[#This Row],[Minimum pressure bar]],55),""),UhsSimplifiedCandidates[[#This Row],[Minimum pressure bar]])</f>
        <v>29</v>
      </c>
      <c r="M94" s="4">
        <v>57</v>
      </c>
      <c r="N94" s="3" t="s">
        <v>226</v>
      </c>
    </row>
    <row r="95" spans="1:14" ht="58.05" customHeight="1">
      <c r="A95" s="2" t="s">
        <v>182</v>
      </c>
      <c r="B95" s="3" t="s">
        <v>227</v>
      </c>
      <c r="C95" s="2" t="s">
        <v>21</v>
      </c>
      <c r="D95" s="4"/>
      <c r="E95" s="4"/>
      <c r="F95" s="4">
        <v>2.35</v>
      </c>
      <c r="G95" s="5"/>
      <c r="H95" s="5"/>
      <c r="I95" s="4"/>
      <c r="J95" s="4"/>
      <c r="K95" s="4"/>
      <c r="L95" s="4" t="str">
        <f>IF(UhsSimplifiedCandidates[[#This Row],[Minimum pressure bar]]&lt;1,IF(UhsSimplifiedCandidates[[#This Row],[Maximum pressure bar]]&gt;55,MAX(UhsSimplifiedCandidates[[#This Row],[Minimum pressure bar]],55),""),UhsSimplifiedCandidates[[#This Row],[Minimum pressure bar]])</f>
        <v/>
      </c>
      <c r="M95" s="4"/>
      <c r="N95" s="3" t="s">
        <v>228</v>
      </c>
    </row>
    <row r="96" spans="1:14" ht="58.05" customHeight="1">
      <c r="A96" s="2" t="s">
        <v>182</v>
      </c>
      <c r="B96" s="3" t="s">
        <v>229</v>
      </c>
      <c r="C96" s="2" t="s">
        <v>63</v>
      </c>
      <c r="D96" s="4"/>
      <c r="E96" s="4"/>
      <c r="F96" s="4">
        <v>7.0250000000000004</v>
      </c>
      <c r="G96" s="5"/>
      <c r="H96" s="5"/>
      <c r="I96" s="4"/>
      <c r="J96" s="4"/>
      <c r="K96" s="4"/>
      <c r="L96" s="4" t="str">
        <f>IF(UhsSimplifiedCandidates[[#This Row],[Minimum pressure bar]]&lt;1,IF(UhsSimplifiedCandidates[[#This Row],[Maximum pressure bar]]&gt;55,MAX(UhsSimplifiedCandidates[[#This Row],[Minimum pressure bar]],55),""),UhsSimplifiedCandidates[[#This Row],[Minimum pressure bar]])</f>
        <v/>
      </c>
      <c r="M96" s="4"/>
      <c r="N96" s="3" t="s">
        <v>230</v>
      </c>
    </row>
    <row r="97" spans="1:14" ht="58.05" customHeight="1">
      <c r="A97" s="2" t="s">
        <v>231</v>
      </c>
      <c r="B97" s="3" t="s">
        <v>232</v>
      </c>
      <c r="C97" s="2" t="s">
        <v>79</v>
      </c>
      <c r="D97" s="4"/>
      <c r="E97" s="4"/>
      <c r="F97" s="4">
        <v>3.17</v>
      </c>
      <c r="G97" s="5"/>
      <c r="H97" s="5"/>
      <c r="I97" s="4"/>
      <c r="J97" s="4"/>
      <c r="K97" s="4"/>
      <c r="L97" s="4" t="str">
        <f>IF(UhsSimplifiedCandidates[[#This Row],[Minimum pressure bar]]&lt;1,IF(UhsSimplifiedCandidates[[#This Row],[Maximum pressure bar]]&gt;55,MAX(UhsSimplifiedCandidates[[#This Row],[Minimum pressure bar]],55),""),UhsSimplifiedCandidates[[#This Row],[Minimum pressure bar]])</f>
        <v/>
      </c>
      <c r="M97" s="4"/>
      <c r="N97" s="3" t="s">
        <v>233</v>
      </c>
    </row>
    <row r="98" spans="1:14" ht="58.05" customHeight="1">
      <c r="A98" s="2" t="s">
        <v>231</v>
      </c>
      <c r="B98" s="3" t="s">
        <v>234</v>
      </c>
      <c r="C98" s="2" t="s">
        <v>21</v>
      </c>
      <c r="D98" s="4">
        <v>2487.5909999999999</v>
      </c>
      <c r="E98" s="4">
        <v>876</v>
      </c>
      <c r="F98" s="4"/>
      <c r="G98" s="5"/>
      <c r="H98" s="5"/>
      <c r="I98" s="4">
        <v>480</v>
      </c>
      <c r="J98" s="4"/>
      <c r="K98" s="4">
        <v>10</v>
      </c>
      <c r="L98" s="4">
        <f>IF(UhsSimplifiedCandidates[[#This Row],[Minimum pressure bar]]&lt;1,IF(UhsSimplifiedCandidates[[#This Row],[Maximum pressure bar]]&gt;55,MAX(UhsSimplifiedCandidates[[#This Row],[Minimum pressure bar]],55),""),UhsSimplifiedCandidates[[#This Row],[Minimum pressure bar]])</f>
        <v>10</v>
      </c>
      <c r="M98" s="4">
        <v>100</v>
      </c>
      <c r="N98" s="3" t="s">
        <v>235</v>
      </c>
    </row>
    <row r="99" spans="1:14" ht="58.05" customHeight="1">
      <c r="A99" s="2" t="s">
        <v>231</v>
      </c>
      <c r="B99" s="3" t="s">
        <v>236</v>
      </c>
      <c r="C99" s="2" t="s">
        <v>21</v>
      </c>
      <c r="D99" s="4"/>
      <c r="E99" s="4"/>
      <c r="F99" s="4">
        <v>1.69</v>
      </c>
      <c r="G99" s="5"/>
      <c r="H99" s="5"/>
      <c r="I99" s="4"/>
      <c r="J99" s="4"/>
      <c r="K99" s="4"/>
      <c r="L99" s="4" t="str">
        <f>IF(UhsSimplifiedCandidates[[#This Row],[Minimum pressure bar]]&lt;1,IF(UhsSimplifiedCandidates[[#This Row],[Maximum pressure bar]]&gt;55,MAX(UhsSimplifiedCandidates[[#This Row],[Minimum pressure bar]],55),""),UhsSimplifiedCandidates[[#This Row],[Minimum pressure bar]])</f>
        <v/>
      </c>
      <c r="M99" s="4"/>
      <c r="N99" s="3" t="s">
        <v>237</v>
      </c>
    </row>
    <row r="100" spans="1:14" ht="58.05" customHeight="1">
      <c r="A100" s="2" t="s">
        <v>231</v>
      </c>
      <c r="B100" s="3" t="s">
        <v>238</v>
      </c>
      <c r="C100" s="2" t="s">
        <v>21</v>
      </c>
      <c r="D100" s="4">
        <v>9.2360000000000007</v>
      </c>
      <c r="E100" s="4">
        <v>3.2525690599999999</v>
      </c>
      <c r="F100" s="4"/>
      <c r="G100" s="5"/>
      <c r="H100" s="5"/>
      <c r="I100" s="4">
        <v>576</v>
      </c>
      <c r="J100" s="4"/>
      <c r="K100" s="4">
        <v>12.3</v>
      </c>
      <c r="L100" s="4">
        <f>IF(UhsSimplifiedCandidates[[#This Row],[Minimum pressure bar]]&lt;1,IF(UhsSimplifiedCandidates[[#This Row],[Maximum pressure bar]]&gt;55,MAX(UhsSimplifiedCandidates[[#This Row],[Minimum pressure bar]],55),""),UhsSimplifiedCandidates[[#This Row],[Minimum pressure bar]])</f>
        <v>12.3</v>
      </c>
      <c r="M100" s="4">
        <v>36.700000000000003</v>
      </c>
      <c r="N100" s="3" t="s">
        <v>239</v>
      </c>
    </row>
    <row r="101" spans="1:14" ht="58.05" customHeight="1">
      <c r="A101" s="2" t="s">
        <v>231</v>
      </c>
      <c r="B101" s="3" t="s">
        <v>240</v>
      </c>
      <c r="C101" s="2" t="s">
        <v>241</v>
      </c>
      <c r="D101" s="4">
        <v>955.76400000000001</v>
      </c>
      <c r="E101" s="4">
        <v>336.57018948000001</v>
      </c>
      <c r="F101" s="4">
        <v>3.8340999999999998</v>
      </c>
      <c r="G101" s="5"/>
      <c r="H101" s="5"/>
      <c r="I101" s="4"/>
      <c r="J101" s="4"/>
      <c r="K101" s="4"/>
      <c r="L101" s="4" t="str">
        <f>IF(UhsSimplifiedCandidates[[#This Row],[Minimum pressure bar]]&lt;1,IF(UhsSimplifiedCandidates[[#This Row],[Maximum pressure bar]]&gt;55,MAX(UhsSimplifiedCandidates[[#This Row],[Minimum pressure bar]],55),""),UhsSimplifiedCandidates[[#This Row],[Minimum pressure bar]])</f>
        <v/>
      </c>
      <c r="M101" s="4"/>
      <c r="N101" s="3" t="s">
        <v>242</v>
      </c>
    </row>
    <row r="102" spans="1:14" ht="58.05" customHeight="1">
      <c r="A102" s="2" t="s">
        <v>231</v>
      </c>
      <c r="B102" s="3" t="s">
        <v>243</v>
      </c>
      <c r="C102" s="2" t="s">
        <v>244</v>
      </c>
      <c r="D102" s="4">
        <v>85.325000000000003</v>
      </c>
      <c r="E102" s="4"/>
      <c r="F102" s="4"/>
      <c r="G102" s="5"/>
      <c r="H102" s="5"/>
      <c r="I102" s="4">
        <v>930</v>
      </c>
      <c r="J102" s="4"/>
      <c r="K102" s="4">
        <v>70</v>
      </c>
      <c r="L102" s="4">
        <f>IF(UhsSimplifiedCandidates[[#This Row],[Minimum pressure bar]]&lt;1,IF(UhsSimplifiedCandidates[[#This Row],[Maximum pressure bar]]&gt;55,MAX(UhsSimplifiedCandidates[[#This Row],[Minimum pressure bar]],55),""),UhsSimplifiedCandidates[[#This Row],[Minimum pressure bar]])</f>
        <v>70</v>
      </c>
      <c r="M102" s="4">
        <v>135</v>
      </c>
      <c r="N102" s="3" t="s">
        <v>245</v>
      </c>
    </row>
    <row r="103" spans="1:14" ht="58.05" customHeight="1">
      <c r="A103" s="2" t="s">
        <v>231</v>
      </c>
      <c r="B103" s="3" t="s">
        <v>246</v>
      </c>
      <c r="C103" s="2" t="s">
        <v>21</v>
      </c>
      <c r="D103" s="4"/>
      <c r="E103" s="4"/>
      <c r="F103" s="4">
        <v>2.0585</v>
      </c>
      <c r="G103" s="5"/>
      <c r="H103" s="5"/>
      <c r="I103" s="4"/>
      <c r="J103" s="4"/>
      <c r="K103" s="4"/>
      <c r="L103" s="4" t="str">
        <f>IF(UhsSimplifiedCandidates[[#This Row],[Minimum pressure bar]]&lt;1,IF(UhsSimplifiedCandidates[[#This Row],[Maximum pressure bar]]&gt;55,MAX(UhsSimplifiedCandidates[[#This Row],[Minimum pressure bar]],55),""),UhsSimplifiedCandidates[[#This Row],[Minimum pressure bar]])</f>
        <v/>
      </c>
      <c r="M103" s="4"/>
      <c r="N103" s="3" t="s">
        <v>247</v>
      </c>
    </row>
    <row r="104" spans="1:14" ht="58.05" customHeight="1">
      <c r="A104" s="2" t="s">
        <v>231</v>
      </c>
      <c r="B104" s="3" t="s">
        <v>248</v>
      </c>
      <c r="C104" s="2" t="s">
        <v>21</v>
      </c>
      <c r="D104" s="4"/>
      <c r="E104" s="4"/>
      <c r="F104" s="4">
        <v>4.18</v>
      </c>
      <c r="G104" s="5"/>
      <c r="H104" s="5"/>
      <c r="I104" s="4"/>
      <c r="J104" s="4"/>
      <c r="K104" s="4"/>
      <c r="L104" s="4" t="str">
        <f>IF(UhsSimplifiedCandidates[[#This Row],[Minimum pressure bar]]&lt;1,IF(UhsSimplifiedCandidates[[#This Row],[Maximum pressure bar]]&gt;55,MAX(UhsSimplifiedCandidates[[#This Row],[Minimum pressure bar]],55),""),UhsSimplifiedCandidates[[#This Row],[Minimum pressure bar]])</f>
        <v/>
      </c>
      <c r="M104" s="4"/>
      <c r="N104" s="3" t="s">
        <v>249</v>
      </c>
    </row>
    <row r="105" spans="1:14" ht="58.05" customHeight="1">
      <c r="A105" s="2" t="s">
        <v>231</v>
      </c>
      <c r="B105" s="3" t="s">
        <v>250</v>
      </c>
      <c r="C105" s="2" t="s">
        <v>21</v>
      </c>
      <c r="D105" s="4"/>
      <c r="E105" s="4"/>
      <c r="F105" s="4">
        <v>1.4</v>
      </c>
      <c r="G105" s="5"/>
      <c r="H105" s="5"/>
      <c r="I105" s="4"/>
      <c r="J105" s="4"/>
      <c r="K105" s="4"/>
      <c r="L105" s="4" t="str">
        <f>IF(UhsSimplifiedCandidates[[#This Row],[Minimum pressure bar]]&lt;1,IF(UhsSimplifiedCandidates[[#This Row],[Maximum pressure bar]]&gt;55,MAX(UhsSimplifiedCandidates[[#This Row],[Minimum pressure bar]],55),""),UhsSimplifiedCandidates[[#This Row],[Minimum pressure bar]])</f>
        <v/>
      </c>
      <c r="M105" s="4"/>
      <c r="N105" s="3" t="s">
        <v>251</v>
      </c>
    </row>
    <row r="106" spans="1:14" ht="58.05" customHeight="1">
      <c r="A106" s="2" t="s">
        <v>231</v>
      </c>
      <c r="B106" s="3" t="s">
        <v>252</v>
      </c>
      <c r="C106" s="2" t="s">
        <v>21</v>
      </c>
      <c r="D106" s="4">
        <v>825.11599999999999</v>
      </c>
      <c r="E106" s="4">
        <v>290.56283585</v>
      </c>
      <c r="F106" s="4">
        <v>3.7</v>
      </c>
      <c r="G106" s="5"/>
      <c r="H106" s="5"/>
      <c r="I106" s="4">
        <v>1300</v>
      </c>
      <c r="J106" s="4"/>
      <c r="K106" s="4">
        <v>30</v>
      </c>
      <c r="L106" s="4">
        <f>IF(UhsSimplifiedCandidates[[#This Row],[Minimum pressure bar]]&lt;1,IF(UhsSimplifiedCandidates[[#This Row],[Maximum pressure bar]]&gt;55,MAX(UhsSimplifiedCandidates[[#This Row],[Minimum pressure bar]],55),""),UhsSimplifiedCandidates[[#This Row],[Minimum pressure bar]])</f>
        <v>30</v>
      </c>
      <c r="M106" s="4">
        <v>203</v>
      </c>
      <c r="N106" s="3" t="s">
        <v>253</v>
      </c>
    </row>
    <row r="107" spans="1:14" ht="58.05" customHeight="1">
      <c r="A107" s="2" t="s">
        <v>231</v>
      </c>
      <c r="B107" s="3" t="s">
        <v>254</v>
      </c>
      <c r="C107" s="2" t="s">
        <v>18</v>
      </c>
      <c r="D107" s="4">
        <v>742.65800000000002</v>
      </c>
      <c r="E107" s="4">
        <v>261.52540773999999</v>
      </c>
      <c r="F107" s="4">
        <v>3.5659999999999998</v>
      </c>
      <c r="G107" s="5"/>
      <c r="H107" s="5"/>
      <c r="I107" s="4"/>
      <c r="J107" s="4"/>
      <c r="K107" s="4"/>
      <c r="L107" s="4" t="str">
        <f>IF(UhsSimplifiedCandidates[[#This Row],[Minimum pressure bar]]&lt;1,IF(UhsSimplifiedCandidates[[#This Row],[Maximum pressure bar]]&gt;55,MAX(UhsSimplifiedCandidates[[#This Row],[Minimum pressure bar]],55),""),UhsSimplifiedCandidates[[#This Row],[Minimum pressure bar]])</f>
        <v/>
      </c>
      <c r="M107" s="4"/>
      <c r="N107" s="3" t="s">
        <v>255</v>
      </c>
    </row>
    <row r="108" spans="1:14" ht="58.05" customHeight="1">
      <c r="A108" s="2" t="s">
        <v>231</v>
      </c>
      <c r="B108" s="3" t="s">
        <v>256</v>
      </c>
      <c r="C108" s="2" t="s">
        <v>21</v>
      </c>
      <c r="D108" s="4"/>
      <c r="E108" s="4"/>
      <c r="F108" s="4">
        <v>1.43520001</v>
      </c>
      <c r="G108" s="5"/>
      <c r="H108" s="5"/>
      <c r="I108" s="4"/>
      <c r="J108" s="4"/>
      <c r="K108" s="4"/>
      <c r="L108" s="4" t="str">
        <f>IF(UhsSimplifiedCandidates[[#This Row],[Minimum pressure bar]]&lt;1,IF(UhsSimplifiedCandidates[[#This Row],[Maximum pressure bar]]&gt;55,MAX(UhsSimplifiedCandidates[[#This Row],[Minimum pressure bar]],55),""),UhsSimplifiedCandidates[[#This Row],[Minimum pressure bar]])</f>
        <v/>
      </c>
      <c r="M108" s="4"/>
      <c r="N108" s="3" t="s">
        <v>257</v>
      </c>
    </row>
    <row r="109" spans="1:14" ht="58.05" customHeight="1">
      <c r="A109" s="2" t="s">
        <v>231</v>
      </c>
      <c r="B109" s="3" t="s">
        <v>258</v>
      </c>
      <c r="C109" s="2" t="s">
        <v>21</v>
      </c>
      <c r="D109" s="4"/>
      <c r="E109" s="4"/>
      <c r="F109" s="4">
        <v>2.7120000000000002</v>
      </c>
      <c r="G109" s="5"/>
      <c r="H109" s="5"/>
      <c r="I109" s="4"/>
      <c r="J109" s="4"/>
      <c r="K109" s="4"/>
      <c r="L109" s="4" t="str">
        <f>IF(UhsSimplifiedCandidates[[#This Row],[Minimum pressure bar]]&lt;1,IF(UhsSimplifiedCandidates[[#This Row],[Maximum pressure bar]]&gt;55,MAX(UhsSimplifiedCandidates[[#This Row],[Minimum pressure bar]],55),""),UhsSimplifiedCandidates[[#This Row],[Minimum pressure bar]])</f>
        <v/>
      </c>
      <c r="M109" s="4"/>
      <c r="N109" s="3" t="s">
        <v>259</v>
      </c>
    </row>
    <row r="110" spans="1:14" ht="58.05" customHeight="1">
      <c r="A110" s="2" t="s">
        <v>231</v>
      </c>
      <c r="B110" s="3" t="s">
        <v>260</v>
      </c>
      <c r="C110" s="2" t="s">
        <v>21</v>
      </c>
      <c r="D110" s="4"/>
      <c r="E110" s="4"/>
      <c r="F110" s="4">
        <v>2.5299999999999998</v>
      </c>
      <c r="G110" s="5"/>
      <c r="H110" s="5"/>
      <c r="I110" s="4"/>
      <c r="J110" s="4"/>
      <c r="K110" s="4"/>
      <c r="L110" s="4" t="str">
        <f>IF(UhsSimplifiedCandidates[[#This Row],[Minimum pressure bar]]&lt;1,IF(UhsSimplifiedCandidates[[#This Row],[Maximum pressure bar]]&gt;55,MAX(UhsSimplifiedCandidates[[#This Row],[Minimum pressure bar]],55),""),UhsSimplifiedCandidates[[#This Row],[Minimum pressure bar]])</f>
        <v/>
      </c>
      <c r="M110" s="4"/>
      <c r="N110" s="3" t="s">
        <v>261</v>
      </c>
    </row>
    <row r="111" spans="1:14" ht="58.05" customHeight="1">
      <c r="A111" s="2" t="s">
        <v>231</v>
      </c>
      <c r="B111" s="3" t="s">
        <v>262</v>
      </c>
      <c r="C111" s="2" t="s">
        <v>21</v>
      </c>
      <c r="D111" s="4"/>
      <c r="E111" s="4"/>
      <c r="F111" s="4">
        <v>1.7</v>
      </c>
      <c r="G111" s="5"/>
      <c r="H111" s="5"/>
      <c r="I111" s="4"/>
      <c r="J111" s="4"/>
      <c r="K111" s="4"/>
      <c r="L111" s="4" t="str">
        <f>IF(UhsSimplifiedCandidates[[#This Row],[Minimum pressure bar]]&lt;1,IF(UhsSimplifiedCandidates[[#This Row],[Maximum pressure bar]]&gt;55,MAX(UhsSimplifiedCandidates[[#This Row],[Minimum pressure bar]],55),""),UhsSimplifiedCandidates[[#This Row],[Minimum pressure bar]])</f>
        <v/>
      </c>
      <c r="M111" s="4"/>
      <c r="N111" s="3" t="s">
        <v>263</v>
      </c>
    </row>
    <row r="112" spans="1:14" ht="58.05" customHeight="1">
      <c r="A112" s="2" t="s">
        <v>231</v>
      </c>
      <c r="B112" s="3" t="s">
        <v>264</v>
      </c>
      <c r="C112" s="2" t="s">
        <v>21</v>
      </c>
      <c r="D112" s="4">
        <v>613.21500000000003</v>
      </c>
      <c r="E112" s="4">
        <v>215.94230224</v>
      </c>
      <c r="F112" s="4">
        <v>2.10392</v>
      </c>
      <c r="G112" s="5"/>
      <c r="H112" s="5"/>
      <c r="I112" s="4"/>
      <c r="J112" s="4"/>
      <c r="K112" s="4"/>
      <c r="L112" s="4" t="str">
        <f>IF(UhsSimplifiedCandidates[[#This Row],[Minimum pressure bar]]&lt;1,IF(UhsSimplifiedCandidates[[#This Row],[Maximum pressure bar]]&gt;55,MAX(UhsSimplifiedCandidates[[#This Row],[Minimum pressure bar]],55),""),UhsSimplifiedCandidates[[#This Row],[Minimum pressure bar]])</f>
        <v/>
      </c>
      <c r="M112" s="4"/>
      <c r="N112" s="3" t="s">
        <v>265</v>
      </c>
    </row>
    <row r="113" spans="1:14" ht="58.05" customHeight="1">
      <c r="A113" s="2" t="s">
        <v>231</v>
      </c>
      <c r="B113" s="3" t="s">
        <v>266</v>
      </c>
      <c r="C113" s="2" t="s">
        <v>21</v>
      </c>
      <c r="D113" s="4"/>
      <c r="E113" s="4"/>
      <c r="F113" s="4">
        <v>15.3788</v>
      </c>
      <c r="G113" s="5"/>
      <c r="H113" s="5"/>
      <c r="I113" s="4"/>
      <c r="J113" s="4"/>
      <c r="K113" s="4"/>
      <c r="L113" s="4" t="str">
        <f>IF(UhsSimplifiedCandidates[[#This Row],[Minimum pressure bar]]&lt;1,IF(UhsSimplifiedCandidates[[#This Row],[Maximum pressure bar]]&gt;55,MAX(UhsSimplifiedCandidates[[#This Row],[Minimum pressure bar]],55),""),UhsSimplifiedCandidates[[#This Row],[Minimum pressure bar]])</f>
        <v/>
      </c>
      <c r="M113" s="4"/>
      <c r="N113" s="3" t="s">
        <v>267</v>
      </c>
    </row>
    <row r="114" spans="1:14" ht="58.05" customHeight="1">
      <c r="A114" s="2" t="s">
        <v>231</v>
      </c>
      <c r="B114" s="3" t="s">
        <v>268</v>
      </c>
      <c r="C114" s="2" t="s">
        <v>21</v>
      </c>
      <c r="D114" s="4"/>
      <c r="E114" s="4"/>
      <c r="F114" s="4">
        <v>1.6052</v>
      </c>
      <c r="G114" s="5"/>
      <c r="H114" s="5"/>
      <c r="I114" s="4"/>
      <c r="J114" s="4"/>
      <c r="K114" s="4"/>
      <c r="L114" s="4" t="str">
        <f>IF(UhsSimplifiedCandidates[[#This Row],[Minimum pressure bar]]&lt;1,IF(UhsSimplifiedCandidates[[#This Row],[Maximum pressure bar]]&gt;55,MAX(UhsSimplifiedCandidates[[#This Row],[Minimum pressure bar]],55),""),UhsSimplifiedCandidates[[#This Row],[Minimum pressure bar]])</f>
        <v/>
      </c>
      <c r="M114" s="4"/>
      <c r="N114" s="3" t="s">
        <v>269</v>
      </c>
    </row>
    <row r="115" spans="1:14" ht="58.05" customHeight="1">
      <c r="A115" s="2" t="s">
        <v>231</v>
      </c>
      <c r="B115" s="3" t="s">
        <v>270</v>
      </c>
      <c r="C115" s="2" t="s">
        <v>199</v>
      </c>
      <c r="D115" s="4">
        <v>592.09199999999998</v>
      </c>
      <c r="E115" s="4">
        <v>208.50381822</v>
      </c>
      <c r="F115" s="4"/>
      <c r="G115" s="5"/>
      <c r="H115" s="5"/>
      <c r="I115" s="4">
        <v>1147</v>
      </c>
      <c r="J115" s="4"/>
      <c r="K115" s="4">
        <v>70</v>
      </c>
      <c r="L115" s="4">
        <f>IF(UhsSimplifiedCandidates[[#This Row],[Minimum pressure bar]]&lt;1,IF(UhsSimplifiedCandidates[[#This Row],[Maximum pressure bar]]&gt;55,MAX(UhsSimplifiedCandidates[[#This Row],[Minimum pressure bar]],55),""),UhsSimplifiedCandidates[[#This Row],[Minimum pressure bar]])</f>
        <v>70</v>
      </c>
      <c r="M115" s="4">
        <v>229</v>
      </c>
      <c r="N115" s="3" t="s">
        <v>271</v>
      </c>
    </row>
    <row r="116" spans="1:14" ht="58.05" customHeight="1">
      <c r="A116" s="2" t="s">
        <v>231</v>
      </c>
      <c r="B116" s="3" t="s">
        <v>272</v>
      </c>
      <c r="C116" s="2" t="s">
        <v>207</v>
      </c>
      <c r="D116" s="4">
        <v>182.05</v>
      </c>
      <c r="E116" s="4">
        <v>64.108607520000007</v>
      </c>
      <c r="F116" s="4"/>
      <c r="G116" s="5"/>
      <c r="H116" s="5"/>
      <c r="I116" s="4">
        <v>1400</v>
      </c>
      <c r="J116" s="4"/>
      <c r="K116" s="4">
        <v>60</v>
      </c>
      <c r="L116" s="4">
        <f>IF(UhsSimplifiedCandidates[[#This Row],[Minimum pressure bar]]&lt;1,IF(UhsSimplifiedCandidates[[#This Row],[Maximum pressure bar]]&gt;55,MAX(UhsSimplifiedCandidates[[#This Row],[Minimum pressure bar]],55),""),UhsSimplifiedCandidates[[#This Row],[Minimum pressure bar]])</f>
        <v>60</v>
      </c>
      <c r="M116" s="4">
        <v>240</v>
      </c>
      <c r="N116" s="3" t="s">
        <v>273</v>
      </c>
    </row>
    <row r="117" spans="1:14" ht="58.05" customHeight="1">
      <c r="A117" s="2" t="s">
        <v>231</v>
      </c>
      <c r="B117" s="3" t="s">
        <v>274</v>
      </c>
      <c r="C117" s="2" t="s">
        <v>21</v>
      </c>
      <c r="D117" s="4"/>
      <c r="E117" s="4"/>
      <c r="F117" s="4">
        <v>2.0674999999999999</v>
      </c>
      <c r="G117" s="5"/>
      <c r="H117" s="5"/>
      <c r="I117" s="4"/>
      <c r="J117" s="4"/>
      <c r="K117" s="4"/>
      <c r="L117" s="4" t="str">
        <f>IF(UhsSimplifiedCandidates[[#This Row],[Minimum pressure bar]]&lt;1,IF(UhsSimplifiedCandidates[[#This Row],[Maximum pressure bar]]&gt;55,MAX(UhsSimplifiedCandidates[[#This Row],[Minimum pressure bar]],55),""),UhsSimplifiedCandidates[[#This Row],[Minimum pressure bar]])</f>
        <v/>
      </c>
      <c r="M117" s="4"/>
      <c r="N117" s="3" t="s">
        <v>275</v>
      </c>
    </row>
    <row r="118" spans="1:14" ht="58.05" customHeight="1">
      <c r="A118" s="2" t="s">
        <v>231</v>
      </c>
      <c r="B118" s="3" t="s">
        <v>276</v>
      </c>
      <c r="C118" s="2" t="s">
        <v>21</v>
      </c>
      <c r="D118" s="4">
        <v>648.15200000000004</v>
      </c>
      <c r="E118" s="4">
        <v>228.24549823999999</v>
      </c>
      <c r="F118" s="4">
        <v>1.95</v>
      </c>
      <c r="G118" s="5"/>
      <c r="H118" s="5"/>
      <c r="I118" s="4"/>
      <c r="J118" s="4"/>
      <c r="K118" s="4"/>
      <c r="L118" s="4" t="str">
        <f>IF(UhsSimplifiedCandidates[[#This Row],[Minimum pressure bar]]&lt;1,IF(UhsSimplifiedCandidates[[#This Row],[Maximum pressure bar]]&gt;55,MAX(UhsSimplifiedCandidates[[#This Row],[Minimum pressure bar]],55),""),UhsSimplifiedCandidates[[#This Row],[Minimum pressure bar]])</f>
        <v/>
      </c>
      <c r="M118" s="4"/>
      <c r="N118" s="3" t="s">
        <v>277</v>
      </c>
    </row>
    <row r="119" spans="1:14" ht="58.05" customHeight="1">
      <c r="A119" s="2" t="s">
        <v>231</v>
      </c>
      <c r="B119" s="3" t="s">
        <v>278</v>
      </c>
      <c r="C119" s="2" t="s">
        <v>21</v>
      </c>
      <c r="D119" s="4"/>
      <c r="E119" s="4"/>
      <c r="F119" s="4">
        <v>2.2469399999999999</v>
      </c>
      <c r="G119" s="5"/>
      <c r="H119" s="5"/>
      <c r="I119" s="4"/>
      <c r="J119" s="4"/>
      <c r="K119" s="4"/>
      <c r="L119" s="4" t="str">
        <f>IF(UhsSimplifiedCandidates[[#This Row],[Minimum pressure bar]]&lt;1,IF(UhsSimplifiedCandidates[[#This Row],[Maximum pressure bar]]&gt;55,MAX(UhsSimplifiedCandidates[[#This Row],[Minimum pressure bar]],55),""),UhsSimplifiedCandidates[[#This Row],[Minimum pressure bar]])</f>
        <v/>
      </c>
      <c r="M119" s="4"/>
      <c r="N119" s="3" t="s">
        <v>279</v>
      </c>
    </row>
    <row r="120" spans="1:14" ht="58.05" customHeight="1">
      <c r="A120" s="2" t="s">
        <v>231</v>
      </c>
      <c r="B120" s="3" t="s">
        <v>280</v>
      </c>
      <c r="C120" s="2" t="s">
        <v>21</v>
      </c>
      <c r="D120" s="4"/>
      <c r="E120" s="4"/>
      <c r="F120" s="4">
        <v>6.2932290000000002E-2</v>
      </c>
      <c r="G120" s="5"/>
      <c r="H120" s="5"/>
      <c r="I120" s="4"/>
      <c r="J120" s="4"/>
      <c r="K120" s="4"/>
      <c r="L120" s="4" t="str">
        <f>IF(UhsSimplifiedCandidates[[#This Row],[Minimum pressure bar]]&lt;1,IF(UhsSimplifiedCandidates[[#This Row],[Maximum pressure bar]]&gt;55,MAX(UhsSimplifiedCandidates[[#This Row],[Minimum pressure bar]],55),""),UhsSimplifiedCandidates[[#This Row],[Minimum pressure bar]])</f>
        <v/>
      </c>
      <c r="M120" s="4"/>
      <c r="N120" s="3" t="s">
        <v>281</v>
      </c>
    </row>
    <row r="121" spans="1:14" ht="58.05" customHeight="1">
      <c r="A121" s="2" t="s">
        <v>231</v>
      </c>
      <c r="B121" s="3" t="s">
        <v>282</v>
      </c>
      <c r="C121" s="2" t="s">
        <v>21</v>
      </c>
      <c r="D121" s="4"/>
      <c r="E121" s="4"/>
      <c r="F121" s="4">
        <v>10.4801</v>
      </c>
      <c r="G121" s="5"/>
      <c r="H121" s="5"/>
      <c r="I121" s="4"/>
      <c r="J121" s="4"/>
      <c r="K121" s="4"/>
      <c r="L121" s="4" t="str">
        <f>IF(UhsSimplifiedCandidates[[#This Row],[Minimum pressure bar]]&lt;1,IF(UhsSimplifiedCandidates[[#This Row],[Maximum pressure bar]]&gt;55,MAX(UhsSimplifiedCandidates[[#This Row],[Minimum pressure bar]],55),""),UhsSimplifiedCandidates[[#This Row],[Minimum pressure bar]])</f>
        <v/>
      </c>
      <c r="M121" s="4"/>
      <c r="N121" s="3" t="s">
        <v>283</v>
      </c>
    </row>
    <row r="122" spans="1:14" ht="58.05" customHeight="1">
      <c r="A122" s="2" t="s">
        <v>231</v>
      </c>
      <c r="B122" s="3" t="s">
        <v>284</v>
      </c>
      <c r="C122" s="2" t="s">
        <v>21</v>
      </c>
      <c r="D122" s="4">
        <v>2229.0450000000001</v>
      </c>
      <c r="E122" s="4">
        <v>784.95333266</v>
      </c>
      <c r="F122" s="4">
        <v>10.49</v>
      </c>
      <c r="G122" s="5"/>
      <c r="H122" s="5"/>
      <c r="I122" s="4">
        <v>899</v>
      </c>
      <c r="J122" s="4"/>
      <c r="K122" s="4">
        <v>60</v>
      </c>
      <c r="L122" s="4">
        <f>IF(UhsSimplifiedCandidates[[#This Row],[Minimum pressure bar]]&lt;1,IF(UhsSimplifiedCandidates[[#This Row],[Maximum pressure bar]]&gt;55,MAX(UhsSimplifiedCandidates[[#This Row],[Minimum pressure bar]],55),""),UhsSimplifiedCandidates[[#This Row],[Minimum pressure bar]])</f>
        <v>60</v>
      </c>
      <c r="M122" s="4">
        <v>170</v>
      </c>
      <c r="N122" s="3" t="s">
        <v>285</v>
      </c>
    </row>
    <row r="123" spans="1:14" ht="58.05" customHeight="1">
      <c r="A123" s="2" t="s">
        <v>231</v>
      </c>
      <c r="B123" s="3" t="s">
        <v>286</v>
      </c>
      <c r="C123" s="2" t="s">
        <v>21</v>
      </c>
      <c r="D123" s="4"/>
      <c r="E123" s="4"/>
      <c r="F123" s="4">
        <v>1.429</v>
      </c>
      <c r="G123" s="5"/>
      <c r="H123" s="5"/>
      <c r="I123" s="4"/>
      <c r="J123" s="4"/>
      <c r="K123" s="4"/>
      <c r="L123" s="4" t="str">
        <f>IF(UhsSimplifiedCandidates[[#This Row],[Minimum pressure bar]]&lt;1,IF(UhsSimplifiedCandidates[[#This Row],[Maximum pressure bar]]&gt;55,MAX(UhsSimplifiedCandidates[[#This Row],[Minimum pressure bar]],55),""),UhsSimplifiedCandidates[[#This Row],[Minimum pressure bar]])</f>
        <v/>
      </c>
      <c r="M123" s="4"/>
      <c r="N123" s="3" t="s">
        <v>287</v>
      </c>
    </row>
    <row r="124" spans="1:14" ht="58.05" customHeight="1">
      <c r="A124" s="2" t="s">
        <v>231</v>
      </c>
      <c r="B124" s="3" t="s">
        <v>288</v>
      </c>
      <c r="C124" s="2" t="s">
        <v>21</v>
      </c>
      <c r="D124" s="4"/>
      <c r="E124" s="4"/>
      <c r="F124" s="4">
        <v>4.74</v>
      </c>
      <c r="G124" s="5"/>
      <c r="H124" s="5"/>
      <c r="I124" s="4"/>
      <c r="J124" s="4"/>
      <c r="K124" s="4"/>
      <c r="L124" s="4" t="str">
        <f>IF(UhsSimplifiedCandidates[[#This Row],[Minimum pressure bar]]&lt;1,IF(UhsSimplifiedCandidates[[#This Row],[Maximum pressure bar]]&gt;55,MAX(UhsSimplifiedCandidates[[#This Row],[Minimum pressure bar]],55),""),UhsSimplifiedCandidates[[#This Row],[Minimum pressure bar]])</f>
        <v/>
      </c>
      <c r="M124" s="4"/>
      <c r="N124" s="3" t="s">
        <v>289</v>
      </c>
    </row>
    <row r="125" spans="1:14" ht="58.05" customHeight="1">
      <c r="A125" s="2" t="s">
        <v>231</v>
      </c>
      <c r="B125" s="3" t="s">
        <v>290</v>
      </c>
      <c r="C125" s="2" t="s">
        <v>21</v>
      </c>
      <c r="D125" s="4"/>
      <c r="E125" s="4"/>
      <c r="F125" s="4">
        <v>10.850899999999999</v>
      </c>
      <c r="G125" s="5"/>
      <c r="H125" s="5"/>
      <c r="I125" s="4"/>
      <c r="J125" s="4"/>
      <c r="K125" s="4"/>
      <c r="L125" s="4" t="str">
        <f>IF(UhsSimplifiedCandidates[[#This Row],[Minimum pressure bar]]&lt;1,IF(UhsSimplifiedCandidates[[#This Row],[Maximum pressure bar]]&gt;55,MAX(UhsSimplifiedCandidates[[#This Row],[Minimum pressure bar]],55),""),UhsSimplifiedCandidates[[#This Row],[Minimum pressure bar]])</f>
        <v/>
      </c>
      <c r="M125" s="4"/>
      <c r="N125" s="3" t="s">
        <v>291</v>
      </c>
    </row>
    <row r="126" spans="1:14" ht="58.05" customHeight="1">
      <c r="A126" s="2" t="s">
        <v>231</v>
      </c>
      <c r="B126" s="3" t="s">
        <v>292</v>
      </c>
      <c r="C126" s="2" t="s">
        <v>21</v>
      </c>
      <c r="D126" s="4">
        <v>3518.924</v>
      </c>
      <c r="E126" s="4">
        <v>1239.18167242</v>
      </c>
      <c r="F126" s="4"/>
      <c r="G126" s="5"/>
      <c r="H126" s="5"/>
      <c r="I126" s="4"/>
      <c r="J126" s="4"/>
      <c r="K126" s="4"/>
      <c r="L126" s="4" t="str">
        <f>IF(UhsSimplifiedCandidates[[#This Row],[Minimum pressure bar]]&lt;1,IF(UhsSimplifiedCandidates[[#This Row],[Maximum pressure bar]]&gt;55,MAX(UhsSimplifiedCandidates[[#This Row],[Minimum pressure bar]],55),""),UhsSimplifiedCandidates[[#This Row],[Minimum pressure bar]])</f>
        <v/>
      </c>
      <c r="M126" s="4"/>
      <c r="N126" s="3" t="s">
        <v>293</v>
      </c>
    </row>
    <row r="127" spans="1:14" ht="58.05" customHeight="1">
      <c r="A127" s="2" t="s">
        <v>231</v>
      </c>
      <c r="B127" s="3" t="s">
        <v>294</v>
      </c>
      <c r="C127" s="2" t="s">
        <v>21</v>
      </c>
      <c r="D127" s="4">
        <v>338.13200000000001</v>
      </c>
      <c r="E127" s="4">
        <v>119.07231073</v>
      </c>
      <c r="F127" s="4">
        <v>1.2304999999999999</v>
      </c>
      <c r="G127" s="5"/>
      <c r="H127" s="5"/>
      <c r="I127" s="4">
        <v>1160</v>
      </c>
      <c r="J127" s="4"/>
      <c r="K127" s="4">
        <v>40</v>
      </c>
      <c r="L127" s="4">
        <f>IF(UhsSimplifiedCandidates[[#This Row],[Minimum pressure bar]]&lt;1,IF(UhsSimplifiedCandidates[[#This Row],[Maximum pressure bar]]&gt;55,MAX(UhsSimplifiedCandidates[[#This Row],[Minimum pressure bar]],55),""),UhsSimplifiedCandidates[[#This Row],[Minimum pressure bar]])</f>
        <v>40</v>
      </c>
      <c r="M127" s="4">
        <v>220</v>
      </c>
      <c r="N127" s="3" t="s">
        <v>295</v>
      </c>
    </row>
    <row r="128" spans="1:14" ht="58.05" customHeight="1">
      <c r="A128" s="2" t="s">
        <v>231</v>
      </c>
      <c r="B128" s="3" t="s">
        <v>296</v>
      </c>
      <c r="C128" s="2" t="s">
        <v>79</v>
      </c>
      <c r="D128" s="4"/>
      <c r="E128" s="4"/>
      <c r="F128" s="4">
        <v>0.66</v>
      </c>
      <c r="G128" s="5"/>
      <c r="H128" s="5"/>
      <c r="I128" s="4"/>
      <c r="J128" s="4"/>
      <c r="K128" s="4"/>
      <c r="L128" s="4" t="str">
        <f>IF(UhsSimplifiedCandidates[[#This Row],[Minimum pressure bar]]&lt;1,IF(UhsSimplifiedCandidates[[#This Row],[Maximum pressure bar]]&gt;55,MAX(UhsSimplifiedCandidates[[#This Row],[Minimum pressure bar]],55),""),UhsSimplifiedCandidates[[#This Row],[Minimum pressure bar]])</f>
        <v/>
      </c>
      <c r="M128" s="4"/>
      <c r="N128" s="3" t="s">
        <v>297</v>
      </c>
    </row>
    <row r="129" spans="1:14" ht="58.05" customHeight="1">
      <c r="A129" s="2" t="s">
        <v>231</v>
      </c>
      <c r="B129" s="3" t="s">
        <v>298</v>
      </c>
      <c r="C129" s="2" t="s">
        <v>79</v>
      </c>
      <c r="D129" s="4"/>
      <c r="E129" s="4"/>
      <c r="F129" s="4">
        <v>2.6480000000000001</v>
      </c>
      <c r="G129" s="5"/>
      <c r="H129" s="5"/>
      <c r="I129" s="4"/>
      <c r="J129" s="4"/>
      <c r="K129" s="4"/>
      <c r="L129" s="4" t="str">
        <f>IF(UhsSimplifiedCandidates[[#This Row],[Minimum pressure bar]]&lt;1,IF(UhsSimplifiedCandidates[[#This Row],[Maximum pressure bar]]&gt;55,MAX(UhsSimplifiedCandidates[[#This Row],[Minimum pressure bar]],55),""),UhsSimplifiedCandidates[[#This Row],[Minimum pressure bar]])</f>
        <v/>
      </c>
      <c r="M129" s="4"/>
      <c r="N129" s="3" t="s">
        <v>299</v>
      </c>
    </row>
    <row r="130" spans="1:14" ht="58.05" customHeight="1">
      <c r="A130" s="2" t="s">
        <v>231</v>
      </c>
      <c r="B130" s="3" t="s">
        <v>300</v>
      </c>
      <c r="C130" s="2" t="s">
        <v>79</v>
      </c>
      <c r="D130" s="4"/>
      <c r="E130" s="4"/>
      <c r="F130" s="4">
        <v>2.86</v>
      </c>
      <c r="G130" s="5"/>
      <c r="H130" s="5"/>
      <c r="I130" s="4"/>
      <c r="J130" s="4"/>
      <c r="K130" s="4"/>
      <c r="L130" s="4" t="str">
        <f>IF(UhsSimplifiedCandidates[[#This Row],[Minimum pressure bar]]&lt;1,IF(UhsSimplifiedCandidates[[#This Row],[Maximum pressure bar]]&gt;55,MAX(UhsSimplifiedCandidates[[#This Row],[Minimum pressure bar]],55),""),UhsSimplifiedCandidates[[#This Row],[Minimum pressure bar]])</f>
        <v/>
      </c>
      <c r="M130" s="4"/>
      <c r="N130" s="3" t="s">
        <v>301</v>
      </c>
    </row>
    <row r="131" spans="1:14" ht="58.05" customHeight="1">
      <c r="A131" s="2" t="s">
        <v>231</v>
      </c>
      <c r="B131" s="3" t="s">
        <v>302</v>
      </c>
      <c r="C131" s="2" t="s">
        <v>21</v>
      </c>
      <c r="D131" s="4"/>
      <c r="E131" s="4"/>
      <c r="F131" s="4">
        <v>9.4499999999999993</v>
      </c>
      <c r="G131" s="5"/>
      <c r="H131" s="5"/>
      <c r="I131" s="4"/>
      <c r="J131" s="4"/>
      <c r="K131" s="4"/>
      <c r="L131" s="4" t="str">
        <f>IF(UhsSimplifiedCandidates[[#This Row],[Minimum pressure bar]]&lt;1,IF(UhsSimplifiedCandidates[[#This Row],[Maximum pressure bar]]&gt;55,MAX(UhsSimplifiedCandidates[[#This Row],[Minimum pressure bar]],55),""),UhsSimplifiedCandidates[[#This Row],[Minimum pressure bar]])</f>
        <v/>
      </c>
      <c r="M131" s="4"/>
      <c r="N131" s="3" t="s">
        <v>303</v>
      </c>
    </row>
    <row r="132" spans="1:14" ht="58.05" customHeight="1">
      <c r="A132" s="2" t="s">
        <v>231</v>
      </c>
      <c r="B132" s="3" t="s">
        <v>304</v>
      </c>
      <c r="C132" s="2" t="s">
        <v>21</v>
      </c>
      <c r="D132" s="4"/>
      <c r="E132" s="4"/>
      <c r="F132" s="4">
        <v>3.39</v>
      </c>
      <c r="G132" s="5"/>
      <c r="H132" s="5"/>
      <c r="I132" s="4"/>
      <c r="J132" s="4"/>
      <c r="K132" s="4"/>
      <c r="L132" s="4" t="str">
        <f>IF(UhsSimplifiedCandidates[[#This Row],[Minimum pressure bar]]&lt;1,IF(UhsSimplifiedCandidates[[#This Row],[Maximum pressure bar]]&gt;55,MAX(UhsSimplifiedCandidates[[#This Row],[Minimum pressure bar]],55),""),UhsSimplifiedCandidates[[#This Row],[Minimum pressure bar]])</f>
        <v/>
      </c>
      <c r="M132" s="4"/>
      <c r="N132" s="3" t="s">
        <v>305</v>
      </c>
    </row>
    <row r="133" spans="1:14" ht="58.05" customHeight="1">
      <c r="A133" s="2" t="s">
        <v>231</v>
      </c>
      <c r="B133" s="3" t="s">
        <v>306</v>
      </c>
      <c r="C133" s="2" t="s">
        <v>21</v>
      </c>
      <c r="D133" s="4"/>
      <c r="E133" s="4"/>
      <c r="F133" s="4">
        <v>0.52</v>
      </c>
      <c r="G133" s="5"/>
      <c r="H133" s="5"/>
      <c r="I133" s="4"/>
      <c r="J133" s="4"/>
      <c r="K133" s="4"/>
      <c r="L133" s="4" t="str">
        <f>IF(UhsSimplifiedCandidates[[#This Row],[Minimum pressure bar]]&lt;1,IF(UhsSimplifiedCandidates[[#This Row],[Maximum pressure bar]]&gt;55,MAX(UhsSimplifiedCandidates[[#This Row],[Minimum pressure bar]],55),""),UhsSimplifiedCandidates[[#This Row],[Minimum pressure bar]])</f>
        <v/>
      </c>
      <c r="M133" s="4"/>
      <c r="N133" s="3" t="s">
        <v>307</v>
      </c>
    </row>
    <row r="134" spans="1:14" ht="58.05" customHeight="1">
      <c r="A134" s="2" t="s">
        <v>231</v>
      </c>
      <c r="B134" s="3" t="s">
        <v>308</v>
      </c>
      <c r="C134" s="2" t="s">
        <v>41</v>
      </c>
      <c r="D134" s="4"/>
      <c r="E134" s="4"/>
      <c r="F134" s="4">
        <v>3.2246000000000001</v>
      </c>
      <c r="G134" s="5"/>
      <c r="H134" s="5"/>
      <c r="I134" s="4"/>
      <c r="J134" s="4"/>
      <c r="K134" s="4"/>
      <c r="L134" s="4" t="str">
        <f>IF(UhsSimplifiedCandidates[[#This Row],[Minimum pressure bar]]&lt;1,IF(UhsSimplifiedCandidates[[#This Row],[Maximum pressure bar]]&gt;55,MAX(UhsSimplifiedCandidates[[#This Row],[Minimum pressure bar]],55),""),UhsSimplifiedCandidates[[#This Row],[Minimum pressure bar]])</f>
        <v/>
      </c>
      <c r="M134" s="4"/>
      <c r="N134" s="3" t="s">
        <v>309</v>
      </c>
    </row>
    <row r="135" spans="1:14" ht="58.05" customHeight="1">
      <c r="A135" s="2" t="s">
        <v>231</v>
      </c>
      <c r="B135" s="3" t="s">
        <v>310</v>
      </c>
      <c r="C135" s="2" t="s">
        <v>21</v>
      </c>
      <c r="D135" s="4"/>
      <c r="E135" s="4"/>
      <c r="F135" s="4">
        <v>2.27</v>
      </c>
      <c r="G135" s="5"/>
      <c r="H135" s="5"/>
      <c r="I135" s="4">
        <v>1040</v>
      </c>
      <c r="J135" s="4"/>
      <c r="K135" s="4"/>
      <c r="L135" s="4">
        <f>IF(UhsSimplifiedCandidates[[#This Row],[Minimum pressure bar]]&lt;1,IF(UhsSimplifiedCandidates[[#This Row],[Maximum pressure bar]]&gt;55,MAX(UhsSimplifiedCandidates[[#This Row],[Minimum pressure bar]],55),""),UhsSimplifiedCandidates[[#This Row],[Minimum pressure bar]])</f>
        <v>55</v>
      </c>
      <c r="M135" s="4">
        <v>115</v>
      </c>
      <c r="N135" s="3" t="s">
        <v>311</v>
      </c>
    </row>
    <row r="136" spans="1:14" ht="58.05" customHeight="1">
      <c r="A136" s="2" t="s">
        <v>231</v>
      </c>
      <c r="B136" s="3" t="s">
        <v>312</v>
      </c>
      <c r="C136" s="2" t="s">
        <v>223</v>
      </c>
      <c r="D136" s="4">
        <v>30.725999999999999</v>
      </c>
      <c r="E136" s="4">
        <v>10.82</v>
      </c>
      <c r="F136" s="4"/>
      <c r="G136" s="5"/>
      <c r="H136" s="5"/>
      <c r="I136" s="4">
        <v>943</v>
      </c>
      <c r="J136" s="4"/>
      <c r="K136" s="4">
        <v>80</v>
      </c>
      <c r="L136" s="4">
        <f>IF(UhsSimplifiedCandidates[[#This Row],[Minimum pressure bar]]&lt;1,IF(UhsSimplifiedCandidates[[#This Row],[Maximum pressure bar]]&gt;55,MAX(UhsSimplifiedCandidates[[#This Row],[Minimum pressure bar]],55),""),UhsSimplifiedCandidates[[#This Row],[Minimum pressure bar]])</f>
        <v>80</v>
      </c>
      <c r="M136" s="4">
        <v>201</v>
      </c>
      <c r="N136" s="3" t="s">
        <v>313</v>
      </c>
    </row>
    <row r="137" spans="1:14" ht="58.05" customHeight="1">
      <c r="A137" s="2" t="s">
        <v>231</v>
      </c>
      <c r="B137" s="3" t="s">
        <v>314</v>
      </c>
      <c r="C137" s="2" t="s">
        <v>184</v>
      </c>
      <c r="D137" s="4">
        <v>1481.568</v>
      </c>
      <c r="E137" s="4">
        <v>521.73093238000001</v>
      </c>
      <c r="F137" s="4"/>
      <c r="G137" s="5"/>
      <c r="H137" s="5"/>
      <c r="I137" s="4">
        <v>1000</v>
      </c>
      <c r="J137" s="4"/>
      <c r="K137" s="4">
        <v>60</v>
      </c>
      <c r="L137" s="4">
        <f>IF(UhsSimplifiedCandidates[[#This Row],[Minimum pressure bar]]&lt;1,IF(UhsSimplifiedCandidates[[#This Row],[Maximum pressure bar]]&gt;55,MAX(UhsSimplifiedCandidates[[#This Row],[Minimum pressure bar]],55),""),UhsSimplifiedCandidates[[#This Row],[Minimum pressure bar]])</f>
        <v>60</v>
      </c>
      <c r="M137" s="4">
        <v>190</v>
      </c>
      <c r="N137" s="3" t="s">
        <v>315</v>
      </c>
    </row>
    <row r="138" spans="1:14" ht="58.05" customHeight="1">
      <c r="A138" s="2" t="s">
        <v>231</v>
      </c>
      <c r="B138" s="3" t="s">
        <v>316</v>
      </c>
      <c r="C138" s="2" t="s">
        <v>41</v>
      </c>
      <c r="D138" s="4">
        <v>1773.491</v>
      </c>
      <c r="E138" s="4">
        <v>624.53097007999997</v>
      </c>
      <c r="F138" s="4">
        <v>6.4531000000000001</v>
      </c>
      <c r="G138" s="5"/>
      <c r="H138" s="5"/>
      <c r="I138" s="4"/>
      <c r="J138" s="4"/>
      <c r="K138" s="4">
        <v>105</v>
      </c>
      <c r="L138" s="4">
        <f>IF(UhsSimplifiedCandidates[[#This Row],[Minimum pressure bar]]&lt;1,IF(UhsSimplifiedCandidates[[#This Row],[Maximum pressure bar]]&gt;55,MAX(UhsSimplifiedCandidates[[#This Row],[Minimum pressure bar]],55),""),UhsSimplifiedCandidates[[#This Row],[Minimum pressure bar]])</f>
        <v>105</v>
      </c>
      <c r="M138" s="4">
        <v>213</v>
      </c>
      <c r="N138" s="3" t="s">
        <v>317</v>
      </c>
    </row>
    <row r="139" spans="1:14" ht="58.05" customHeight="1">
      <c r="A139" s="2" t="s">
        <v>231</v>
      </c>
      <c r="B139" s="3" t="s">
        <v>318</v>
      </c>
      <c r="C139" s="2" t="s">
        <v>244</v>
      </c>
      <c r="D139" s="4">
        <v>123.988</v>
      </c>
      <c r="E139" s="4"/>
      <c r="F139" s="4"/>
      <c r="G139" s="5"/>
      <c r="H139" s="5"/>
      <c r="I139" s="4"/>
      <c r="J139" s="4"/>
      <c r="K139" s="4">
        <v>55</v>
      </c>
      <c r="L139" s="4">
        <f>IF(UhsSimplifiedCandidates[[#This Row],[Minimum pressure bar]]&lt;1,IF(UhsSimplifiedCandidates[[#This Row],[Maximum pressure bar]]&gt;55,MAX(UhsSimplifiedCandidates[[#This Row],[Minimum pressure bar]],55),""),UhsSimplifiedCandidates[[#This Row],[Minimum pressure bar]])</f>
        <v>55</v>
      </c>
      <c r="M139" s="4">
        <v>152</v>
      </c>
      <c r="N139" s="3" t="s">
        <v>319</v>
      </c>
    </row>
    <row r="140" spans="1:14" ht="58.05" customHeight="1">
      <c r="A140" s="2" t="s">
        <v>231</v>
      </c>
      <c r="B140" s="3" t="s">
        <v>320</v>
      </c>
      <c r="C140" s="2" t="s">
        <v>21</v>
      </c>
      <c r="D140" s="4"/>
      <c r="E140" s="4"/>
      <c r="F140" s="4">
        <v>2.5099999999999998</v>
      </c>
      <c r="G140" s="5"/>
      <c r="H140" s="5"/>
      <c r="I140" s="4"/>
      <c r="J140" s="4"/>
      <c r="K140" s="4"/>
      <c r="L140" s="4" t="str">
        <f>IF(UhsSimplifiedCandidates[[#This Row],[Minimum pressure bar]]&lt;1,IF(UhsSimplifiedCandidates[[#This Row],[Maximum pressure bar]]&gt;55,MAX(UhsSimplifiedCandidates[[#This Row],[Minimum pressure bar]],55),""),UhsSimplifiedCandidates[[#This Row],[Minimum pressure bar]])</f>
        <v/>
      </c>
      <c r="M140" s="4"/>
      <c r="N140" s="3" t="s">
        <v>321</v>
      </c>
    </row>
    <row r="141" spans="1:14" ht="58.05" customHeight="1">
      <c r="A141" s="2" t="s">
        <v>231</v>
      </c>
      <c r="B141" s="3" t="s">
        <v>322</v>
      </c>
      <c r="C141" s="2" t="s">
        <v>21</v>
      </c>
      <c r="D141" s="4"/>
      <c r="E141" s="4"/>
      <c r="F141" s="4">
        <v>2.5179999999999998</v>
      </c>
      <c r="G141" s="5"/>
      <c r="H141" s="5"/>
      <c r="I141" s="4"/>
      <c r="J141" s="4"/>
      <c r="K141" s="4"/>
      <c r="L141" s="4" t="str">
        <f>IF(UhsSimplifiedCandidates[[#This Row],[Minimum pressure bar]]&lt;1,IF(UhsSimplifiedCandidates[[#This Row],[Maximum pressure bar]]&gt;55,MAX(UhsSimplifiedCandidates[[#This Row],[Minimum pressure bar]],55),""),UhsSimplifiedCandidates[[#This Row],[Minimum pressure bar]])</f>
        <v/>
      </c>
      <c r="M141" s="4"/>
      <c r="N141" s="3" t="s">
        <v>323</v>
      </c>
    </row>
    <row r="142" spans="1:14" ht="58.05" customHeight="1">
      <c r="A142" s="2" t="s">
        <v>231</v>
      </c>
      <c r="B142" s="3" t="s">
        <v>324</v>
      </c>
      <c r="C142" s="2" t="s">
        <v>18</v>
      </c>
      <c r="D142" s="4"/>
      <c r="E142" s="4"/>
      <c r="F142" s="4">
        <v>2.5</v>
      </c>
      <c r="G142" s="5"/>
      <c r="H142" s="5"/>
      <c r="I142" s="4"/>
      <c r="J142" s="4"/>
      <c r="K142" s="4"/>
      <c r="L142" s="4" t="str">
        <f>IF(UhsSimplifiedCandidates[[#This Row],[Minimum pressure bar]]&lt;1,IF(UhsSimplifiedCandidates[[#This Row],[Maximum pressure bar]]&gt;55,MAX(UhsSimplifiedCandidates[[#This Row],[Minimum pressure bar]],55),""),UhsSimplifiedCandidates[[#This Row],[Minimum pressure bar]])</f>
        <v/>
      </c>
      <c r="M142" s="4"/>
      <c r="N142" s="3" t="s">
        <v>325</v>
      </c>
    </row>
    <row r="143" spans="1:14" ht="58.05" customHeight="1">
      <c r="A143" s="2" t="s">
        <v>231</v>
      </c>
      <c r="B143" s="3" t="s">
        <v>326</v>
      </c>
      <c r="C143" s="2" t="s">
        <v>21</v>
      </c>
      <c r="D143" s="4"/>
      <c r="E143" s="4"/>
      <c r="F143" s="4">
        <v>2.0299999999999998</v>
      </c>
      <c r="G143" s="5"/>
      <c r="H143" s="5"/>
      <c r="I143" s="4"/>
      <c r="J143" s="4"/>
      <c r="K143" s="4"/>
      <c r="L143" s="4" t="str">
        <f>IF(UhsSimplifiedCandidates[[#This Row],[Minimum pressure bar]]&lt;1,IF(UhsSimplifiedCandidates[[#This Row],[Maximum pressure bar]]&gt;55,MAX(UhsSimplifiedCandidates[[#This Row],[Minimum pressure bar]],55),""),UhsSimplifiedCandidates[[#This Row],[Minimum pressure bar]])</f>
        <v/>
      </c>
      <c r="M143" s="4"/>
      <c r="N143" s="3" t="s">
        <v>327</v>
      </c>
    </row>
    <row r="144" spans="1:14" ht="58.05" customHeight="1">
      <c r="A144" s="2" t="s">
        <v>231</v>
      </c>
      <c r="B144" s="3" t="s">
        <v>328</v>
      </c>
      <c r="C144" s="2" t="s">
        <v>21</v>
      </c>
      <c r="D144" s="4">
        <v>1176.366</v>
      </c>
      <c r="E144" s="4">
        <v>414.25473742000003</v>
      </c>
      <c r="F144" s="4">
        <v>3.8639999999999999</v>
      </c>
      <c r="G144" s="5"/>
      <c r="H144" s="5"/>
      <c r="I144" s="4"/>
      <c r="J144" s="4"/>
      <c r="K144" s="4"/>
      <c r="L144" s="4" t="str">
        <f>IF(UhsSimplifiedCandidates[[#This Row],[Minimum pressure bar]]&lt;1,IF(UhsSimplifiedCandidates[[#This Row],[Maximum pressure bar]]&gt;55,MAX(UhsSimplifiedCandidates[[#This Row],[Minimum pressure bar]],55),""),UhsSimplifiedCandidates[[#This Row],[Minimum pressure bar]])</f>
        <v/>
      </c>
      <c r="M144" s="4"/>
      <c r="N144" s="3" t="s">
        <v>329</v>
      </c>
    </row>
    <row r="145" spans="1:14" ht="58.05" customHeight="1">
      <c r="A145" s="2" t="s">
        <v>231</v>
      </c>
      <c r="B145" s="3" t="s">
        <v>330</v>
      </c>
      <c r="C145" s="2" t="s">
        <v>21</v>
      </c>
      <c r="D145" s="4"/>
      <c r="E145" s="4"/>
      <c r="F145" s="4">
        <v>1.61</v>
      </c>
      <c r="G145" s="5"/>
      <c r="H145" s="5"/>
      <c r="I145" s="4"/>
      <c r="J145" s="4"/>
      <c r="K145" s="4"/>
      <c r="L145" s="4" t="str">
        <f>IF(UhsSimplifiedCandidates[[#This Row],[Minimum pressure bar]]&lt;1,IF(UhsSimplifiedCandidates[[#This Row],[Maximum pressure bar]]&gt;55,MAX(UhsSimplifiedCandidates[[#This Row],[Minimum pressure bar]],55),""),UhsSimplifiedCandidates[[#This Row],[Minimum pressure bar]])</f>
        <v/>
      </c>
      <c r="M145" s="4"/>
      <c r="N145" s="3" t="s">
        <v>331</v>
      </c>
    </row>
    <row r="146" spans="1:14" ht="58.05" customHeight="1">
      <c r="A146" s="2" t="s">
        <v>231</v>
      </c>
      <c r="B146" s="3" t="s">
        <v>332</v>
      </c>
      <c r="C146" s="2" t="s">
        <v>21</v>
      </c>
      <c r="D146" s="4"/>
      <c r="E146" s="4"/>
      <c r="F146" s="4">
        <v>0.999</v>
      </c>
      <c r="G146" s="5"/>
      <c r="H146" s="5"/>
      <c r="I146" s="4"/>
      <c r="J146" s="4"/>
      <c r="K146" s="4"/>
      <c r="L146" s="4" t="str">
        <f>IF(UhsSimplifiedCandidates[[#This Row],[Minimum pressure bar]]&lt;1,IF(UhsSimplifiedCandidates[[#This Row],[Maximum pressure bar]]&gt;55,MAX(UhsSimplifiedCandidates[[#This Row],[Minimum pressure bar]],55),""),UhsSimplifiedCandidates[[#This Row],[Minimum pressure bar]])</f>
        <v/>
      </c>
      <c r="M146" s="4"/>
      <c r="N146" s="3" t="s">
        <v>333</v>
      </c>
    </row>
    <row r="147" spans="1:14" ht="58.05" customHeight="1">
      <c r="A147" s="2" t="s">
        <v>231</v>
      </c>
      <c r="B147" s="3" t="s">
        <v>334</v>
      </c>
      <c r="C147" s="2" t="s">
        <v>21</v>
      </c>
      <c r="D147" s="4">
        <v>1652.4</v>
      </c>
      <c r="E147" s="4">
        <v>581.88931834000005</v>
      </c>
      <c r="F147" s="4">
        <v>6.4</v>
      </c>
      <c r="G147" s="5"/>
      <c r="H147" s="5"/>
      <c r="I147" s="4">
        <v>930</v>
      </c>
      <c r="J147" s="4"/>
      <c r="K147" s="4">
        <v>35</v>
      </c>
      <c r="L147" s="4">
        <f>IF(UhsSimplifiedCandidates[[#This Row],[Minimum pressure bar]]&lt;1,IF(UhsSimplifiedCandidates[[#This Row],[Maximum pressure bar]]&gt;55,MAX(UhsSimplifiedCandidates[[#This Row],[Minimum pressure bar]],55),""),UhsSimplifiedCandidates[[#This Row],[Minimum pressure bar]])</f>
        <v>35</v>
      </c>
      <c r="M147" s="4">
        <v>170</v>
      </c>
      <c r="N147" s="3" t="s">
        <v>335</v>
      </c>
    </row>
    <row r="148" spans="1:14" ht="58.05" customHeight="1">
      <c r="A148" s="2" t="s">
        <v>231</v>
      </c>
      <c r="B148" s="3" t="s">
        <v>336</v>
      </c>
      <c r="C148" s="2" t="s">
        <v>79</v>
      </c>
      <c r="D148" s="4">
        <v>700.89300000000003</v>
      </c>
      <c r="E148" s="4">
        <v>246.81813894999999</v>
      </c>
      <c r="F148" s="4"/>
      <c r="G148" s="5"/>
      <c r="H148" s="5"/>
      <c r="I148" s="4"/>
      <c r="J148" s="4"/>
      <c r="K148" s="4"/>
      <c r="L148" s="4" t="str">
        <f>IF(UhsSimplifiedCandidates[[#This Row],[Minimum pressure bar]]&lt;1,IF(UhsSimplifiedCandidates[[#This Row],[Maximum pressure bar]]&gt;55,MAX(UhsSimplifiedCandidates[[#This Row],[Minimum pressure bar]],55),""),UhsSimplifiedCandidates[[#This Row],[Minimum pressure bar]])</f>
        <v/>
      </c>
      <c r="M148" s="4"/>
      <c r="N148" s="3" t="s">
        <v>337</v>
      </c>
    </row>
    <row r="149" spans="1:14" ht="58.05" customHeight="1">
      <c r="A149" s="2" t="s">
        <v>231</v>
      </c>
      <c r="B149" s="3" t="s">
        <v>338</v>
      </c>
      <c r="C149" s="2" t="s">
        <v>79</v>
      </c>
      <c r="D149" s="4"/>
      <c r="E149" s="4"/>
      <c r="F149" s="4">
        <v>4.4000000000000004</v>
      </c>
      <c r="G149" s="5"/>
      <c r="H149" s="5"/>
      <c r="I149" s="4"/>
      <c r="J149" s="4"/>
      <c r="K149" s="4"/>
      <c r="L149" s="4" t="str">
        <f>IF(UhsSimplifiedCandidates[[#This Row],[Minimum pressure bar]]&lt;1,IF(UhsSimplifiedCandidates[[#This Row],[Maximum pressure bar]]&gt;55,MAX(UhsSimplifiedCandidates[[#This Row],[Minimum pressure bar]],55),""),UhsSimplifiedCandidates[[#This Row],[Minimum pressure bar]])</f>
        <v/>
      </c>
      <c r="M149" s="4"/>
      <c r="N149" s="3" t="s">
        <v>339</v>
      </c>
    </row>
    <row r="150" spans="1:14" ht="58.05" customHeight="1">
      <c r="A150" s="2" t="s">
        <v>231</v>
      </c>
      <c r="B150" s="3" t="s">
        <v>340</v>
      </c>
      <c r="C150" s="2" t="s">
        <v>79</v>
      </c>
      <c r="D150" s="4"/>
      <c r="E150" s="4"/>
      <c r="F150" s="4">
        <v>1.99</v>
      </c>
      <c r="G150" s="5"/>
      <c r="H150" s="5"/>
      <c r="I150" s="4"/>
      <c r="J150" s="4"/>
      <c r="K150" s="4"/>
      <c r="L150" s="4" t="str">
        <f>IF(UhsSimplifiedCandidates[[#This Row],[Minimum pressure bar]]&lt;1,IF(UhsSimplifiedCandidates[[#This Row],[Maximum pressure bar]]&gt;55,MAX(UhsSimplifiedCandidates[[#This Row],[Minimum pressure bar]],55),""),UhsSimplifiedCandidates[[#This Row],[Minimum pressure bar]])</f>
        <v/>
      </c>
      <c r="M150" s="4"/>
      <c r="N150" s="3" t="s">
        <v>341</v>
      </c>
    </row>
    <row r="151" spans="1:14" ht="58.05" customHeight="1">
      <c r="A151" s="2" t="s">
        <v>231</v>
      </c>
      <c r="B151" s="3" t="s">
        <v>342</v>
      </c>
      <c r="C151" s="2" t="s">
        <v>79</v>
      </c>
      <c r="D151" s="4">
        <v>27.664000000000001</v>
      </c>
      <c r="E151" s="4"/>
      <c r="F151" s="4"/>
      <c r="G151" s="5"/>
      <c r="H151" s="5"/>
      <c r="I151" s="4">
        <v>350</v>
      </c>
      <c r="J151" s="4"/>
      <c r="K151" s="4"/>
      <c r="L151" s="4" t="str">
        <f>IF(UhsSimplifiedCandidates[[#This Row],[Minimum pressure bar]]&lt;1,IF(UhsSimplifiedCandidates[[#This Row],[Maximum pressure bar]]&gt;55,MAX(UhsSimplifiedCandidates[[#This Row],[Minimum pressure bar]],55),""),UhsSimplifiedCandidates[[#This Row],[Minimum pressure bar]])</f>
        <v/>
      </c>
      <c r="M151" s="4"/>
      <c r="N151" s="3" t="s">
        <v>343</v>
      </c>
    </row>
    <row r="152" spans="1:14" ht="58.05" customHeight="1">
      <c r="A152" s="2" t="s">
        <v>231</v>
      </c>
      <c r="B152" s="3" t="s">
        <v>344</v>
      </c>
      <c r="C152" s="2" t="s">
        <v>134</v>
      </c>
      <c r="D152" s="4"/>
      <c r="E152" s="4"/>
      <c r="F152" s="4">
        <v>19.55</v>
      </c>
      <c r="G152" s="5"/>
      <c r="H152" s="5"/>
      <c r="I152" s="4"/>
      <c r="J152" s="4"/>
      <c r="K152" s="4"/>
      <c r="L152" s="4" t="str">
        <f>IF(UhsSimplifiedCandidates[[#This Row],[Minimum pressure bar]]&lt;1,IF(UhsSimplifiedCandidates[[#This Row],[Maximum pressure bar]]&gt;55,MAX(UhsSimplifiedCandidates[[#This Row],[Minimum pressure bar]],55),""),UhsSimplifiedCandidates[[#This Row],[Minimum pressure bar]])</f>
        <v/>
      </c>
      <c r="M152" s="4"/>
      <c r="N152" s="3" t="s">
        <v>345</v>
      </c>
    </row>
    <row r="153" spans="1:14" ht="58.05" customHeight="1">
      <c r="A153" s="2" t="s">
        <v>231</v>
      </c>
      <c r="B153" s="3" t="s">
        <v>346</v>
      </c>
      <c r="C153" s="2" t="s">
        <v>21</v>
      </c>
      <c r="D153" s="4">
        <v>537.45000000000005</v>
      </c>
      <c r="E153" s="4">
        <v>189.26180823000001</v>
      </c>
      <c r="F153" s="4"/>
      <c r="G153" s="5"/>
      <c r="H153" s="5"/>
      <c r="I153" s="4">
        <v>1017</v>
      </c>
      <c r="J153" s="4"/>
      <c r="K153" s="4">
        <v>33</v>
      </c>
      <c r="L153" s="4">
        <f>IF(UhsSimplifiedCandidates[[#This Row],[Minimum pressure bar]]&lt;1,IF(UhsSimplifiedCandidates[[#This Row],[Maximum pressure bar]]&gt;55,MAX(UhsSimplifiedCandidates[[#This Row],[Minimum pressure bar]],55),""),UhsSimplifiedCandidates[[#This Row],[Minimum pressure bar]])</f>
        <v>33</v>
      </c>
      <c r="M153" s="4">
        <v>204</v>
      </c>
      <c r="N153" s="3" t="s">
        <v>347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showGridLines="0" workbookViewId="0">
      <selection activeCell="B4" sqref="B4"/>
    </sheetView>
  </sheetViews>
  <sheetFormatPr defaultRowHeight="13.8"/>
  <cols>
    <col min="1" max="1" width="35" customWidth="1"/>
    <col min="2" max="2" width="114" customWidth="1"/>
  </cols>
  <sheetData>
    <row r="1" spans="1:2" ht="21">
      <c r="A1" s="6" t="s">
        <v>348</v>
      </c>
      <c r="B1" s="6"/>
    </row>
    <row r="3" spans="1:2" ht="37.950000000000003" customHeight="1">
      <c r="A3" s="7" t="s">
        <v>349</v>
      </c>
      <c r="B3" s="8" t="s">
        <v>350</v>
      </c>
    </row>
    <row r="4" spans="1:2" ht="37.950000000000003" customHeight="1">
      <c r="A4" s="7" t="s">
        <v>351</v>
      </c>
      <c r="B4" s="8">
        <v>152</v>
      </c>
    </row>
    <row r="5" spans="1:2" ht="37.950000000000003" customHeight="1">
      <c r="A5" s="7" t="s">
        <v>352</v>
      </c>
      <c r="B5" s="8" t="s">
        <v>353</v>
      </c>
    </row>
    <row r="6" spans="1:2" ht="37.950000000000003" customHeight="1">
      <c r="A6" s="7" t="s">
        <v>354</v>
      </c>
      <c r="B6" s="8" t="s">
        <v>355</v>
      </c>
    </row>
    <row r="7" spans="1:2" ht="37.950000000000003" customHeight="1">
      <c r="A7" s="7" t="s">
        <v>3</v>
      </c>
      <c r="B7" s="8" t="s">
        <v>356</v>
      </c>
    </row>
    <row r="8" spans="1:2" ht="37.950000000000003" customHeight="1">
      <c r="A8" s="7" t="s">
        <v>4</v>
      </c>
      <c r="B8" s="8" t="s">
        <v>357</v>
      </c>
    </row>
    <row r="9" spans="1:2" ht="37.950000000000003" customHeight="1">
      <c r="A9" s="7" t="s">
        <v>5</v>
      </c>
      <c r="B9" s="8" t="s">
        <v>358</v>
      </c>
    </row>
    <row r="10" spans="1:2" ht="37.950000000000003" customHeight="1">
      <c r="A10" s="7" t="s">
        <v>359</v>
      </c>
      <c r="B10" s="8" t="s">
        <v>360</v>
      </c>
    </row>
    <row r="11" spans="1:2" ht="37.950000000000003" customHeight="1">
      <c r="A11" s="7" t="s">
        <v>49</v>
      </c>
      <c r="B11" s="8" t="s">
        <v>361</v>
      </c>
    </row>
    <row r="12" spans="1:2" ht="37.950000000000003" customHeight="1">
      <c r="A12" s="7" t="s">
        <v>114</v>
      </c>
      <c r="B12" s="8" t="s">
        <v>362</v>
      </c>
    </row>
    <row r="13" spans="1:2" ht="37.950000000000003" customHeight="1">
      <c r="A13" s="7" t="s">
        <v>363</v>
      </c>
      <c r="B13" s="8" t="s">
        <v>364</v>
      </c>
    </row>
    <row r="15" spans="1:2" ht="14.4">
      <c r="A15" s="9" t="s">
        <v>365</v>
      </c>
      <c r="B15" s="9"/>
    </row>
    <row r="16" spans="1:2">
      <c r="A16" s="10" t="s">
        <v>366</v>
      </c>
      <c r="B16" s="11" t="s">
        <v>367</v>
      </c>
    </row>
    <row r="17" spans="1:2" ht="27.6">
      <c r="A17" s="10" t="s">
        <v>368</v>
      </c>
      <c r="B17" s="11" t="s">
        <v>369</v>
      </c>
    </row>
    <row r="18" spans="1:2">
      <c r="A18" s="10" t="s">
        <v>370</v>
      </c>
      <c r="B18" s="11" t="s">
        <v>371</v>
      </c>
    </row>
    <row r="19" spans="1:2">
      <c r="A19" s="10" t="s">
        <v>372</v>
      </c>
      <c r="B19" s="11"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Reference sites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Hawkins</dc:creator>
  <cp:lastModifiedBy>Dan Hawkins</cp:lastModifiedBy>
  <dcterms:created xsi:type="dcterms:W3CDTF">2026-10-28T13:17:13Z</dcterms:created>
  <dcterms:modified xsi:type="dcterms:W3CDTF">2026-10-28T13:17:13Z</dcterms:modified>
</cp:coreProperties>
</file>